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7" documentId="11_F25DC773A252ABDACC1048B8919B58365BDE5900" xr6:coauthVersionLast="47" xr6:coauthVersionMax="47" xr10:uidLastSave="{257ECCEC-9B9C-4B46-8218-365B30ECFCC4}"/>
  <bookViews>
    <workbookView xWindow="19090" yWindow="-64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C41" i="1"/>
  <c r="J40" i="1"/>
  <c r="G40" i="1"/>
  <c r="C40" i="1"/>
  <c r="J39" i="1"/>
  <c r="G39" i="1"/>
  <c r="C39" i="1"/>
  <c r="J38" i="1"/>
  <c r="G38" i="1"/>
  <c r="C38" i="1"/>
  <c r="J37" i="1"/>
  <c r="G37" i="1"/>
  <c r="C37" i="1"/>
  <c r="J36" i="1"/>
  <c r="G36" i="1"/>
  <c r="C36" i="1"/>
  <c r="G35" i="1"/>
  <c r="C35" i="1"/>
  <c r="J34" i="1"/>
  <c r="G34" i="1"/>
  <c r="C34" i="1"/>
  <c r="J33" i="1"/>
  <c r="G33" i="1"/>
  <c r="C33" i="1"/>
  <c r="J32" i="1"/>
  <c r="G32" i="1"/>
  <c r="C32" i="1"/>
  <c r="J29" i="1"/>
  <c r="G29" i="1"/>
  <c r="C29" i="1"/>
  <c r="J28" i="1"/>
  <c r="G28" i="1"/>
  <c r="C28" i="1"/>
  <c r="G27" i="1"/>
  <c r="C27" i="1"/>
  <c r="J26" i="1"/>
  <c r="G26" i="1"/>
  <c r="C26" i="1"/>
  <c r="J25" i="1"/>
  <c r="G25" i="1"/>
  <c r="C25" i="1"/>
  <c r="J24" i="1"/>
  <c r="G24" i="1"/>
  <c r="C24" i="1"/>
  <c r="J23" i="1"/>
  <c r="G23" i="1"/>
  <c r="C23" i="1"/>
  <c r="J22" i="1"/>
  <c r="G22" i="1"/>
  <c r="C22" i="1"/>
  <c r="J21" i="1"/>
  <c r="G21" i="1"/>
  <c r="C21" i="1"/>
  <c r="J20" i="1"/>
  <c r="G20" i="1"/>
  <c r="C20" i="1"/>
  <c r="J19" i="1"/>
  <c r="G19" i="1"/>
  <c r="C19" i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1" i="1"/>
  <c r="G11" i="1"/>
  <c r="C11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J3" i="1"/>
  <c r="G3" i="1"/>
  <c r="C3" i="1"/>
  <c r="J2" i="1"/>
  <c r="G2" i="1"/>
  <c r="C2" i="1"/>
</calcChain>
</file>

<file path=xl/sharedStrings.xml><?xml version="1.0" encoding="utf-8"?>
<sst xmlns="http://schemas.openxmlformats.org/spreadsheetml/2006/main" count="131" uniqueCount="100">
  <si>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</si>
  <si>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</si>
  <si>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</si>
  <si>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</si>
  <si>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</si>
  <si>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</si>
  <si>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</si>
  <si>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</si>
  <si>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</si>
  <si>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</si>
  <si>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</si>
  <si>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Homestead</t>
  </si>
  <si>
    <t>20,815,384</t>
  </si>
  <si>
    <t>B</t>
  </si>
  <si>
    <t>Civil War</t>
  </si>
  <si>
    <t>B-</t>
  </si>
  <si>
    <t>Missing</t>
  </si>
  <si>
    <t>48,767,848</t>
  </si>
  <si>
    <t>Trap</t>
  </si>
  <si>
    <t>83,677,281</t>
  </si>
  <si>
    <t>C+</t>
  </si>
  <si>
    <t>Blink Twice</t>
  </si>
  <si>
    <t>48,093,906</t>
  </si>
  <si>
    <t>Speak No Evil</t>
  </si>
  <si>
    <t>76,756,109</t>
  </si>
  <si>
    <t>B+</t>
  </si>
  <si>
    <t xml:space="preserve">M3GAN </t>
  </si>
  <si>
    <t>180,089,109</t>
  </si>
  <si>
    <t>A Quiet Place: Day One</t>
  </si>
  <si>
    <t>261,907,653</t>
  </si>
  <si>
    <t>Sinners</t>
  </si>
  <si>
    <t>370,233,701</t>
  </si>
  <si>
    <t>A</t>
  </si>
  <si>
    <t>The Watchers</t>
  </si>
  <si>
    <t>33,371,404</t>
  </si>
  <si>
    <t>C-</t>
  </si>
  <si>
    <t>Drop</t>
  </si>
  <si>
    <t>28,744,167</t>
  </si>
  <si>
    <t>Flight Risk</t>
  </si>
  <si>
    <t>48,701,987</t>
  </si>
  <si>
    <t>C</t>
  </si>
  <si>
    <t>Fall</t>
  </si>
  <si>
    <t>18,039,979</t>
  </si>
  <si>
    <t>Voyagers</t>
  </si>
  <si>
    <t>4,298,184</t>
  </si>
  <si>
    <t xml:space="preserve">Bugonia </t>
  </si>
  <si>
    <t>43,496,375</t>
  </si>
  <si>
    <t>Cocaine Bear</t>
  </si>
  <si>
    <t>88,314,672</t>
  </si>
  <si>
    <t>Nightmare Alley</t>
  </si>
  <si>
    <t>39,629,195</t>
  </si>
  <si>
    <t>Opus</t>
  </si>
  <si>
    <t>2,196,593</t>
  </si>
  <si>
    <t>Joker: Folie à Deux</t>
  </si>
  <si>
    <t>207,500,287</t>
  </si>
  <si>
    <t xml:space="preserve">D </t>
  </si>
  <si>
    <t>Where the Crawdads Sing</t>
  </si>
  <si>
    <t>144,353,965</t>
  </si>
  <si>
    <t>A-</t>
  </si>
  <si>
    <t>Black Bag</t>
  </si>
  <si>
    <t>43,887,905</t>
  </si>
  <si>
    <t>The Housemaid</t>
  </si>
  <si>
    <t>399,951,810</t>
  </si>
  <si>
    <t>Don't Worry Darling</t>
  </si>
  <si>
    <t>87,609,403</t>
  </si>
  <si>
    <t>Old</t>
  </si>
  <si>
    <t>90,146,510</t>
  </si>
  <si>
    <t>Last Breath</t>
  </si>
  <si>
    <t>24,823,454</t>
  </si>
  <si>
    <t>Reminiscence</t>
  </si>
  <si>
    <t>16,400,193</t>
  </si>
  <si>
    <t>Companion</t>
  </si>
  <si>
    <t>36,969,122</t>
  </si>
  <si>
    <t>Hurry Up Tomorrow</t>
  </si>
  <si>
    <t>7,763,862</t>
  </si>
  <si>
    <t>Nosferatu</t>
  </si>
  <si>
    <t>181,954,339</t>
  </si>
  <si>
    <t>Five Nights at Freddy's 2</t>
  </si>
  <si>
    <t>The Crow</t>
  </si>
  <si>
    <t>24,208,755</t>
  </si>
  <si>
    <t>The Menu</t>
  </si>
  <si>
    <t>79,628,200</t>
  </si>
  <si>
    <t>A Haunting in Venice</t>
  </si>
  <si>
    <t>122,290,456</t>
  </si>
  <si>
    <t>Last Night in Soho</t>
  </si>
  <si>
    <t>22,957,625</t>
  </si>
  <si>
    <t>Nope</t>
  </si>
  <si>
    <t>171,235,592</t>
  </si>
  <si>
    <t>Knock at the Cabin</t>
  </si>
  <si>
    <t>54,760,947</t>
  </si>
  <si>
    <t>Heretic</t>
  </si>
  <si>
    <t>60,040,465</t>
  </si>
  <si>
    <t>The Long Walk</t>
  </si>
  <si>
    <t>63,249,525</t>
  </si>
  <si>
    <t>Longlegs</t>
  </si>
  <si>
    <t>127,961,936</t>
  </si>
  <si>
    <t>Escape Room: Tournament of Champions</t>
  </si>
  <si>
    <t>65,774,490</t>
  </si>
  <si>
    <t>127,268,065</t>
  </si>
  <si>
    <t>238,569,570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</si>
</sst>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3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3" workbookViewId="0">
      <selection activeCell="A12" sqref="A12:XFD12"/>
    </sheetView>
  </sheetViews>
  <sheetFormatPr defaultRowHeight="15" x14ac:dyDescent="0.25"/>
  <cols>
    <col min="1" max="1" width="34.42578125" bestFit="1" customWidth="1"/>
    <col min="2" max="2" width="11.7109375" bestFit="1" customWidth="1"/>
    <col min="3" max="3" width="12.28515625" bestFit="1" customWidth="1"/>
    <col min="4" max="4" width="17.85546875" bestFit="1" customWidth="1"/>
    <col min="5" max="5" width="10" bestFit="1" customWidth="1"/>
    <col min="6" max="7" width="9.85546875" bestFit="1" customWidth="1"/>
    <col min="8" max="8" width="24" bestFit="1" customWidth="1"/>
    <col min="9" max="9" width="14" bestFit="1" customWidth="1"/>
    <col min="10" max="10" width="9.42578125" bestFit="1" customWidth="1"/>
    <col min="11" max="11" width="12.85546875" bestFit="1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.75" thickBot="1" x14ac:dyDescent="0.3">
      <c r="A2" s="4" t="s">
        <v>11</v>
      </c>
      <c r="B2" s="2">
        <v>55</v>
      </c>
      <c r="C2" s="1">
        <f t="shared" ref="C2:C3" si="0">100-B2</f>
        <v>45</v>
      </c>
      <c r="D2" s="2">
        <v>29</v>
      </c>
      <c r="E2" s="2">
        <v>39</v>
      </c>
      <c r="F2" s="2">
        <v>19</v>
      </c>
      <c r="G2" s="1">
        <f t="shared" ref="G2:G3" si="1">100-D2-E2-F2</f>
        <v>13</v>
      </c>
      <c r="H2" s="5" t="s">
        <v>12</v>
      </c>
      <c r="I2" s="2">
        <v>57</v>
      </c>
      <c r="J2" s="1">
        <f t="shared" ref="J2:J3" si="2">100-I2</f>
        <v>43</v>
      </c>
      <c r="K2" s="6" t="s">
        <v>13</v>
      </c>
    </row>
    <row r="3" spans="1:11" ht="15.75" thickBot="1" x14ac:dyDescent="0.3">
      <c r="A3" s="7" t="s">
        <v>14</v>
      </c>
      <c r="B3" s="1">
        <v>69</v>
      </c>
      <c r="C3" s="1">
        <f t="shared" si="0"/>
        <v>31</v>
      </c>
      <c r="D3" s="1">
        <v>10</v>
      </c>
      <c r="E3" s="1">
        <v>27</v>
      </c>
      <c r="F3" s="1">
        <v>43</v>
      </c>
      <c r="G3" s="1">
        <f t="shared" si="1"/>
        <v>20</v>
      </c>
      <c r="H3" s="8" t="s">
        <v>98</v>
      </c>
      <c r="I3" s="1">
        <v>67</v>
      </c>
      <c r="J3" s="1">
        <f t="shared" si="2"/>
        <v>33</v>
      </c>
      <c r="K3" s="6" t="s">
        <v>15</v>
      </c>
    </row>
    <row r="4" spans="1:11" ht="15.75" thickBot="1" x14ac:dyDescent="0.3">
      <c r="A4" s="9" t="s">
        <v>16</v>
      </c>
      <c r="B4" s="1">
        <v>41</v>
      </c>
      <c r="C4" s="1">
        <v>59</v>
      </c>
      <c r="D4" s="1">
        <v>10</v>
      </c>
      <c r="E4" s="1">
        <v>24</v>
      </c>
      <c r="F4" s="2">
        <v>32</v>
      </c>
      <c r="G4" s="1">
        <v>34</v>
      </c>
      <c r="H4" s="1" t="s">
        <v>17</v>
      </c>
      <c r="I4" s="1">
        <v>62</v>
      </c>
      <c r="J4" s="1">
        <v>38</v>
      </c>
      <c r="K4" s="6" t="s">
        <v>13</v>
      </c>
    </row>
    <row r="5" spans="1:11" ht="15.75" thickBot="1" x14ac:dyDescent="0.3">
      <c r="A5" s="9" t="s">
        <v>18</v>
      </c>
      <c r="B5" s="1">
        <v>54</v>
      </c>
      <c r="C5" s="1">
        <v>46</v>
      </c>
      <c r="D5" s="1">
        <v>10</v>
      </c>
      <c r="E5" s="1">
        <v>27</v>
      </c>
      <c r="F5" s="1">
        <v>40</v>
      </c>
      <c r="G5" s="1">
        <v>23</v>
      </c>
      <c r="H5" s="1" t="s">
        <v>19</v>
      </c>
      <c r="I5" s="1">
        <v>57</v>
      </c>
      <c r="J5" s="1">
        <v>43</v>
      </c>
      <c r="K5" s="6" t="s">
        <v>20</v>
      </c>
    </row>
    <row r="6" spans="1:11" ht="15.75" thickBot="1" x14ac:dyDescent="0.3">
      <c r="A6" s="10" t="s">
        <v>21</v>
      </c>
      <c r="B6" s="1">
        <v>50</v>
      </c>
      <c r="C6" s="1">
        <v>50</v>
      </c>
      <c r="D6" s="1">
        <v>14</v>
      </c>
      <c r="E6" s="1">
        <v>28</v>
      </c>
      <c r="F6" s="1">
        <v>37</v>
      </c>
      <c r="G6" s="1">
        <f t="shared" ref="G6:G10" si="3">100-D6-E6-F6</f>
        <v>21</v>
      </c>
      <c r="H6" s="1" t="s">
        <v>22</v>
      </c>
      <c r="I6" s="1">
        <v>48</v>
      </c>
      <c r="J6" s="1">
        <f t="shared" ref="J6:J11" si="4">100-I6</f>
        <v>52</v>
      </c>
      <c r="K6" s="6" t="s">
        <v>15</v>
      </c>
    </row>
    <row r="7" spans="1:11" ht="15.75" thickBot="1" x14ac:dyDescent="0.3">
      <c r="A7" s="7" t="s">
        <v>23</v>
      </c>
      <c r="B7" s="1">
        <v>54</v>
      </c>
      <c r="C7" s="1">
        <f t="shared" ref="C7:C10" si="5">100-B7</f>
        <v>46</v>
      </c>
      <c r="D7" s="1">
        <v>8</v>
      </c>
      <c r="E7" s="1">
        <v>26</v>
      </c>
      <c r="F7" s="1">
        <v>41</v>
      </c>
      <c r="G7" s="1">
        <f t="shared" si="3"/>
        <v>25</v>
      </c>
      <c r="H7" s="1" t="s">
        <v>24</v>
      </c>
      <c r="I7" s="1">
        <v>53</v>
      </c>
      <c r="J7" s="1">
        <f t="shared" si="4"/>
        <v>47</v>
      </c>
      <c r="K7" s="6" t="s">
        <v>25</v>
      </c>
    </row>
    <row r="8" spans="1:11" ht="15.75" thickBot="1" x14ac:dyDescent="0.3">
      <c r="A8" s="7" t="s">
        <v>26</v>
      </c>
      <c r="B8" s="1">
        <v>47</v>
      </c>
      <c r="C8" s="1">
        <f t="shared" si="5"/>
        <v>53</v>
      </c>
      <c r="D8" s="1">
        <v>3</v>
      </c>
      <c r="E8" s="1">
        <v>16</v>
      </c>
      <c r="F8" s="1">
        <v>42</v>
      </c>
      <c r="G8" s="1">
        <f t="shared" si="3"/>
        <v>39</v>
      </c>
      <c r="H8" s="1" t="s">
        <v>27</v>
      </c>
      <c r="I8" s="1">
        <v>72</v>
      </c>
      <c r="J8" s="1">
        <f t="shared" si="4"/>
        <v>28</v>
      </c>
      <c r="K8" s="6" t="s">
        <v>13</v>
      </c>
    </row>
    <row r="9" spans="1:11" ht="15.75" thickBot="1" x14ac:dyDescent="0.3">
      <c r="A9" s="9" t="s">
        <v>28</v>
      </c>
      <c r="B9" s="1">
        <v>55</v>
      </c>
      <c r="C9" s="1">
        <f t="shared" si="5"/>
        <v>45</v>
      </c>
      <c r="D9" s="1">
        <v>5</v>
      </c>
      <c r="E9" s="1">
        <v>23</v>
      </c>
      <c r="F9" s="1">
        <v>43</v>
      </c>
      <c r="G9" s="1">
        <f t="shared" si="3"/>
        <v>29</v>
      </c>
      <c r="H9" s="1" t="s">
        <v>29</v>
      </c>
      <c r="I9" s="1">
        <v>74</v>
      </c>
      <c r="J9" s="1">
        <f t="shared" si="4"/>
        <v>26</v>
      </c>
      <c r="K9" s="6" t="s">
        <v>25</v>
      </c>
    </row>
    <row r="10" spans="1:11" x14ac:dyDescent="0.25">
      <c r="A10" s="10" t="s">
        <v>30</v>
      </c>
      <c r="B10" s="1">
        <v>58</v>
      </c>
      <c r="C10" s="1">
        <f t="shared" si="5"/>
        <v>42</v>
      </c>
      <c r="D10" s="1">
        <v>4</v>
      </c>
      <c r="E10" s="1">
        <v>19</v>
      </c>
      <c r="F10" s="1">
        <v>52</v>
      </c>
      <c r="G10" s="1">
        <f t="shared" si="3"/>
        <v>25</v>
      </c>
      <c r="H10" s="1" t="s">
        <v>31</v>
      </c>
      <c r="I10" s="1">
        <v>75</v>
      </c>
      <c r="J10" s="1">
        <f t="shared" si="4"/>
        <v>25</v>
      </c>
      <c r="K10" s="11" t="s">
        <v>32</v>
      </c>
    </row>
    <row r="11" spans="1:11" x14ac:dyDescent="0.25">
      <c r="A11" s="10" t="s">
        <v>33</v>
      </c>
      <c r="B11" s="1">
        <v>55</v>
      </c>
      <c r="C11" s="1">
        <f>100-B11</f>
        <v>45</v>
      </c>
      <c r="D11" s="1">
        <v>9</v>
      </c>
      <c r="E11" s="1">
        <v>26</v>
      </c>
      <c r="F11" s="1">
        <v>39</v>
      </c>
      <c r="G11" s="1">
        <f>100-D11-E11-F11</f>
        <v>26</v>
      </c>
      <c r="H11" s="1" t="s">
        <v>34</v>
      </c>
      <c r="I11" s="1">
        <v>58</v>
      </c>
      <c r="J11" s="1">
        <f t="shared" si="4"/>
        <v>42</v>
      </c>
      <c r="K11" s="11" t="s">
        <v>35</v>
      </c>
    </row>
    <row r="12" spans="1:11" x14ac:dyDescent="0.25">
      <c r="A12" s="10" t="s">
        <v>36</v>
      </c>
      <c r="B12" s="1">
        <v>52</v>
      </c>
      <c r="C12" s="1">
        <v>48</v>
      </c>
      <c r="D12" s="1">
        <v>14</v>
      </c>
      <c r="E12" s="1">
        <v>27</v>
      </c>
      <c r="F12" s="1">
        <v>36</v>
      </c>
      <c r="G12" s="1">
        <v>23</v>
      </c>
      <c r="H12" s="1" t="s">
        <v>37</v>
      </c>
      <c r="I12" s="1">
        <v>56</v>
      </c>
      <c r="J12" s="1">
        <v>44</v>
      </c>
      <c r="K12" s="11" t="s">
        <v>13</v>
      </c>
    </row>
    <row r="13" spans="1:11" ht="15.75" thickBot="1" x14ac:dyDescent="0.3">
      <c r="A13" s="9" t="s">
        <v>38</v>
      </c>
      <c r="B13" s="2">
        <v>55</v>
      </c>
      <c r="C13" s="1">
        <f>100-B13</f>
        <v>45</v>
      </c>
      <c r="D13" s="2">
        <v>24</v>
      </c>
      <c r="E13" s="2">
        <v>38</v>
      </c>
      <c r="F13" s="2">
        <v>27</v>
      </c>
      <c r="G13" s="1">
        <f t="shared" ref="G13:G20" si="6">100-D13-E13-F13</f>
        <v>11</v>
      </c>
      <c r="H13" s="12" t="s">
        <v>39</v>
      </c>
      <c r="I13" s="2">
        <v>59</v>
      </c>
      <c r="J13" s="1">
        <f t="shared" ref="J13:J17" si="7">100-I13</f>
        <v>41</v>
      </c>
      <c r="K13" s="13" t="s">
        <v>40</v>
      </c>
    </row>
    <row r="14" spans="1:11" ht="15.75" thickBot="1" x14ac:dyDescent="0.3">
      <c r="A14" s="13" t="s">
        <v>41</v>
      </c>
      <c r="B14" s="2">
        <v>55</v>
      </c>
      <c r="C14" s="1">
        <f t="shared" ref="C14:C16" si="8">100-B14</f>
        <v>45</v>
      </c>
      <c r="D14" s="2">
        <v>14</v>
      </c>
      <c r="E14" s="2">
        <v>27</v>
      </c>
      <c r="F14" s="2">
        <v>33</v>
      </c>
      <c r="G14" s="1">
        <f t="shared" si="6"/>
        <v>26</v>
      </c>
      <c r="H14" s="12" t="s">
        <v>42</v>
      </c>
      <c r="I14" s="2">
        <v>48</v>
      </c>
      <c r="J14" s="1">
        <f t="shared" si="7"/>
        <v>52</v>
      </c>
      <c r="K14" s="6" t="s">
        <v>13</v>
      </c>
    </row>
    <row r="15" spans="1:11" ht="15.75" thickBot="1" x14ac:dyDescent="0.3">
      <c r="A15" s="13" t="s">
        <v>43</v>
      </c>
      <c r="B15" s="2">
        <v>61</v>
      </c>
      <c r="C15" s="12">
        <f t="shared" si="8"/>
        <v>39</v>
      </c>
      <c r="D15" s="2">
        <v>13</v>
      </c>
      <c r="E15" s="2">
        <v>28</v>
      </c>
      <c r="F15" s="2">
        <v>32</v>
      </c>
      <c r="G15" s="1">
        <f t="shared" si="6"/>
        <v>27</v>
      </c>
      <c r="H15" s="12" t="s">
        <v>44</v>
      </c>
      <c r="I15" s="2">
        <v>71</v>
      </c>
      <c r="J15" s="1">
        <f t="shared" si="7"/>
        <v>29</v>
      </c>
      <c r="K15" s="14" t="s">
        <v>40</v>
      </c>
    </row>
    <row r="16" spans="1:11" ht="15.75" thickBot="1" x14ac:dyDescent="0.3">
      <c r="A16" s="4" t="s">
        <v>45</v>
      </c>
      <c r="B16" s="2">
        <v>64</v>
      </c>
      <c r="C16" s="1">
        <f t="shared" si="8"/>
        <v>36</v>
      </c>
      <c r="D16" s="2">
        <v>16</v>
      </c>
      <c r="E16" s="2">
        <v>28</v>
      </c>
      <c r="F16" s="2">
        <v>41</v>
      </c>
      <c r="G16" s="1">
        <f t="shared" si="6"/>
        <v>15</v>
      </c>
      <c r="H16" s="12" t="s">
        <v>46</v>
      </c>
      <c r="I16" s="2">
        <v>45</v>
      </c>
      <c r="J16" s="1">
        <f t="shared" si="7"/>
        <v>55</v>
      </c>
      <c r="K16" s="6" t="s">
        <v>13</v>
      </c>
    </row>
    <row r="17" spans="1:11" ht="15.75" thickBot="1" x14ac:dyDescent="0.3">
      <c r="A17" s="9" t="s">
        <v>47</v>
      </c>
      <c r="B17" s="2">
        <v>61</v>
      </c>
      <c r="C17" s="1">
        <f>100-B17</f>
        <v>39</v>
      </c>
      <c r="D17" s="2">
        <v>6</v>
      </c>
      <c r="E17" s="2">
        <v>21</v>
      </c>
      <c r="F17" s="2">
        <v>35</v>
      </c>
      <c r="G17" s="1">
        <f t="shared" si="6"/>
        <v>38</v>
      </c>
      <c r="H17" s="12" t="s">
        <v>48</v>
      </c>
      <c r="I17" s="2">
        <v>68</v>
      </c>
      <c r="J17" s="1">
        <f t="shared" si="7"/>
        <v>32</v>
      </c>
      <c r="K17" s="14" t="s">
        <v>15</v>
      </c>
    </row>
    <row r="18" spans="1:11" ht="15.75" thickBot="1" x14ac:dyDescent="0.3">
      <c r="A18" s="13" t="s">
        <v>49</v>
      </c>
      <c r="B18" s="2">
        <v>61</v>
      </c>
      <c r="C18" s="1">
        <f>100-B18</f>
        <v>39</v>
      </c>
      <c r="D18" s="2">
        <v>28</v>
      </c>
      <c r="E18" s="2">
        <v>30</v>
      </c>
      <c r="F18" s="2">
        <v>29</v>
      </c>
      <c r="G18" s="1">
        <f t="shared" si="6"/>
        <v>13</v>
      </c>
      <c r="H18" s="12" t="s">
        <v>50</v>
      </c>
      <c r="I18" s="2">
        <v>55</v>
      </c>
      <c r="J18" s="2">
        <v>45</v>
      </c>
      <c r="K18" s="6" t="s">
        <v>13</v>
      </c>
    </row>
    <row r="19" spans="1:11" ht="15.75" thickBot="1" x14ac:dyDescent="0.3">
      <c r="A19" s="9" t="s">
        <v>51</v>
      </c>
      <c r="B19" s="2">
        <v>54</v>
      </c>
      <c r="C19" s="1">
        <f t="shared" ref="C19:C20" si="9">100-B19</f>
        <v>46</v>
      </c>
      <c r="D19" s="2">
        <v>5</v>
      </c>
      <c r="E19" s="2">
        <v>13</v>
      </c>
      <c r="F19" s="2">
        <v>46</v>
      </c>
      <c r="G19" s="1">
        <f t="shared" si="6"/>
        <v>36</v>
      </c>
      <c r="H19" s="12" t="s">
        <v>52</v>
      </c>
      <c r="I19" s="2">
        <v>50</v>
      </c>
      <c r="J19" s="1">
        <f t="shared" ref="J19:J20" si="10">100-I19</f>
        <v>50</v>
      </c>
      <c r="K19" s="14" t="s">
        <v>20</v>
      </c>
    </row>
    <row r="20" spans="1:11" ht="15.75" thickBot="1" x14ac:dyDescent="0.3">
      <c r="A20" s="9" t="s">
        <v>53</v>
      </c>
      <c r="B20" s="2">
        <v>59</v>
      </c>
      <c r="C20" s="1">
        <f t="shared" si="9"/>
        <v>41</v>
      </c>
      <c r="D20" s="2">
        <v>6</v>
      </c>
      <c r="E20" s="2">
        <v>21</v>
      </c>
      <c r="F20" s="2">
        <v>42</v>
      </c>
      <c r="G20" s="1">
        <f t="shared" si="6"/>
        <v>31</v>
      </c>
      <c r="H20" s="12" t="s">
        <v>54</v>
      </c>
      <c r="I20" s="2">
        <v>67</v>
      </c>
      <c r="J20" s="1">
        <f t="shared" si="10"/>
        <v>33</v>
      </c>
      <c r="K20" s="14" t="s">
        <v>55</v>
      </c>
    </row>
    <row r="21" spans="1:11" ht="15.75" thickBot="1" x14ac:dyDescent="0.3">
      <c r="A21" s="13" t="s">
        <v>56</v>
      </c>
      <c r="B21" s="2">
        <v>34</v>
      </c>
      <c r="C21" s="1">
        <f>100-B21</f>
        <v>66</v>
      </c>
      <c r="D21" s="2">
        <v>31</v>
      </c>
      <c r="E21" s="2">
        <v>33</v>
      </c>
      <c r="F21" s="2">
        <v>23</v>
      </c>
      <c r="G21" s="1">
        <f>100-D21-E21-F21</f>
        <v>13</v>
      </c>
      <c r="H21" s="12" t="s">
        <v>57</v>
      </c>
      <c r="I21" s="2">
        <v>73</v>
      </c>
      <c r="J21" s="2">
        <f>100-I21</f>
        <v>27</v>
      </c>
      <c r="K21" s="6" t="s">
        <v>58</v>
      </c>
    </row>
    <row r="22" spans="1:11" ht="15.75" thickBot="1" x14ac:dyDescent="0.3">
      <c r="A22" s="9" t="s">
        <v>59</v>
      </c>
      <c r="B22" s="2">
        <v>59</v>
      </c>
      <c r="C22" s="1">
        <f>100-B22</f>
        <v>41</v>
      </c>
      <c r="D22" s="2">
        <v>33</v>
      </c>
      <c r="E22" s="2">
        <v>38</v>
      </c>
      <c r="F22" s="2">
        <v>21</v>
      </c>
      <c r="G22" s="1">
        <f>100-D22-E22-F22</f>
        <v>8</v>
      </c>
      <c r="H22" s="12" t="s">
        <v>60</v>
      </c>
      <c r="I22" s="2">
        <v>56</v>
      </c>
      <c r="J22" s="1">
        <f t="shared" ref="J22:J26" si="11">100-I22</f>
        <v>44</v>
      </c>
      <c r="K22" s="14" t="s">
        <v>13</v>
      </c>
    </row>
    <row r="23" spans="1:11" ht="15.75" thickBot="1" x14ac:dyDescent="0.3">
      <c r="A23" s="4" t="s">
        <v>61</v>
      </c>
      <c r="B23" s="2">
        <v>33</v>
      </c>
      <c r="C23" s="1">
        <f t="shared" ref="C23:C26" si="12">100-B23</f>
        <v>67</v>
      </c>
      <c r="D23" s="2">
        <v>8</v>
      </c>
      <c r="E23" s="2">
        <v>22</v>
      </c>
      <c r="F23" s="2">
        <v>46</v>
      </c>
      <c r="G23" s="1">
        <f t="shared" ref="G23:G26" si="13">100-D23-E23-F23</f>
        <v>24</v>
      </c>
      <c r="H23" s="12" t="s">
        <v>62</v>
      </c>
      <c r="I23" s="2">
        <v>73</v>
      </c>
      <c r="J23" s="1">
        <f t="shared" si="11"/>
        <v>27</v>
      </c>
      <c r="K23" s="6" t="s">
        <v>13</v>
      </c>
    </row>
    <row r="24" spans="1:11" ht="15.75" thickBot="1" x14ac:dyDescent="0.3">
      <c r="A24" s="13" t="s">
        <v>63</v>
      </c>
      <c r="B24" s="2">
        <v>34</v>
      </c>
      <c r="C24" s="1">
        <f t="shared" si="12"/>
        <v>66</v>
      </c>
      <c r="D24" s="2">
        <v>7</v>
      </c>
      <c r="E24" s="2">
        <v>17</v>
      </c>
      <c r="F24" s="2">
        <v>25</v>
      </c>
      <c r="G24" s="1">
        <f t="shared" si="13"/>
        <v>51</v>
      </c>
      <c r="H24" s="12" t="s">
        <v>64</v>
      </c>
      <c r="I24" s="2">
        <v>65</v>
      </c>
      <c r="J24" s="1">
        <f t="shared" si="11"/>
        <v>35</v>
      </c>
      <c r="K24" s="6" t="s">
        <v>15</v>
      </c>
    </row>
    <row r="25" spans="1:11" ht="15.75" thickBot="1" x14ac:dyDescent="0.3">
      <c r="A25" s="13" t="s">
        <v>65</v>
      </c>
      <c r="B25" s="2">
        <v>51</v>
      </c>
      <c r="C25" s="1">
        <f t="shared" si="12"/>
        <v>49</v>
      </c>
      <c r="D25" s="2">
        <v>6</v>
      </c>
      <c r="E25" s="2">
        <v>20</v>
      </c>
      <c r="F25" s="2">
        <v>34</v>
      </c>
      <c r="G25" s="1">
        <f t="shared" si="13"/>
        <v>40</v>
      </c>
      <c r="H25" s="12" t="s">
        <v>66</v>
      </c>
      <c r="I25" s="2">
        <v>87</v>
      </c>
      <c r="J25" s="1">
        <f t="shared" si="11"/>
        <v>13</v>
      </c>
      <c r="K25" s="14" t="s">
        <v>20</v>
      </c>
    </row>
    <row r="26" spans="1:11" ht="15.75" thickBot="1" x14ac:dyDescent="0.3">
      <c r="A26" s="9" t="s">
        <v>67</v>
      </c>
      <c r="B26" s="2">
        <v>54</v>
      </c>
      <c r="C26" s="1">
        <f t="shared" si="12"/>
        <v>46</v>
      </c>
      <c r="D26" s="2">
        <v>28</v>
      </c>
      <c r="E26" s="2">
        <v>36</v>
      </c>
      <c r="F26" s="2">
        <v>24</v>
      </c>
      <c r="G26" s="1">
        <f t="shared" si="13"/>
        <v>12</v>
      </c>
      <c r="H26" s="12" t="s">
        <v>68</v>
      </c>
      <c r="I26" s="2">
        <v>55</v>
      </c>
      <c r="J26" s="1">
        <f t="shared" si="11"/>
        <v>45</v>
      </c>
      <c r="K26" s="14" t="s">
        <v>25</v>
      </c>
    </row>
    <row r="27" spans="1:11" ht="15.75" thickBot="1" x14ac:dyDescent="0.3">
      <c r="A27" s="13" t="s">
        <v>69</v>
      </c>
      <c r="B27" s="2">
        <v>61</v>
      </c>
      <c r="C27" s="1">
        <f>100-B27</f>
        <v>39</v>
      </c>
      <c r="D27" s="2">
        <v>21</v>
      </c>
      <c r="E27" s="2">
        <v>30</v>
      </c>
      <c r="F27" s="2">
        <v>24</v>
      </c>
      <c r="G27" s="1">
        <f>100-D27-E27-F27</f>
        <v>25</v>
      </c>
      <c r="H27" s="12" t="s">
        <v>70</v>
      </c>
      <c r="I27" s="2">
        <v>59</v>
      </c>
      <c r="J27" s="2">
        <v>41</v>
      </c>
      <c r="K27" s="6" t="s">
        <v>20</v>
      </c>
    </row>
    <row r="28" spans="1:11" ht="15.75" thickBot="1" x14ac:dyDescent="0.3">
      <c r="A28" s="9" t="s">
        <v>71</v>
      </c>
      <c r="B28" s="2">
        <v>59</v>
      </c>
      <c r="C28" s="1">
        <f t="shared" ref="C28:C29" si="14">100-B28</f>
        <v>41</v>
      </c>
      <c r="D28" s="2">
        <v>8</v>
      </c>
      <c r="E28" s="2">
        <v>20</v>
      </c>
      <c r="F28" s="2">
        <v>45</v>
      </c>
      <c r="G28" s="1">
        <f t="shared" ref="G28:G29" si="15">100-D28-E28-F28</f>
        <v>27</v>
      </c>
      <c r="H28" s="12" t="s">
        <v>72</v>
      </c>
      <c r="I28" s="2">
        <v>48</v>
      </c>
      <c r="J28" s="1">
        <f t="shared" ref="J28:J29" si="16">100-I28</f>
        <v>52</v>
      </c>
      <c r="K28" s="14" t="s">
        <v>25</v>
      </c>
    </row>
    <row r="29" spans="1:11" x14ac:dyDescent="0.25">
      <c r="A29" s="9" t="s">
        <v>73</v>
      </c>
      <c r="B29" s="2">
        <v>59</v>
      </c>
      <c r="C29" s="1">
        <f t="shared" si="14"/>
        <v>41</v>
      </c>
      <c r="D29" s="2">
        <v>4</v>
      </c>
      <c r="E29" s="2">
        <v>13</v>
      </c>
      <c r="F29" s="2">
        <v>31</v>
      </c>
      <c r="G29" s="1">
        <f t="shared" si="15"/>
        <v>52</v>
      </c>
      <c r="H29" s="12" t="s">
        <v>74</v>
      </c>
      <c r="I29" s="2">
        <v>64</v>
      </c>
      <c r="J29" s="1">
        <f t="shared" si="16"/>
        <v>36</v>
      </c>
      <c r="K29" s="13" t="s">
        <v>35</v>
      </c>
    </row>
    <row r="30" spans="1:11" x14ac:dyDescent="0.25">
      <c r="A30" s="10" t="s">
        <v>75</v>
      </c>
      <c r="B30" s="1">
        <v>59</v>
      </c>
      <c r="C30" s="1">
        <v>41</v>
      </c>
      <c r="D30" s="1">
        <v>5</v>
      </c>
      <c r="E30" s="1">
        <v>22</v>
      </c>
      <c r="F30" s="1">
        <v>45</v>
      </c>
      <c r="G30" s="1">
        <v>28</v>
      </c>
      <c r="H30" s="1" t="s">
        <v>76</v>
      </c>
      <c r="I30" s="1">
        <v>68</v>
      </c>
      <c r="J30" s="1">
        <v>32</v>
      </c>
      <c r="K30" s="11" t="s">
        <v>15</v>
      </c>
    </row>
    <row r="31" spans="1:11" x14ac:dyDescent="0.25">
      <c r="A31" s="7" t="s">
        <v>77</v>
      </c>
      <c r="B31" s="1">
        <v>53</v>
      </c>
      <c r="C31" s="1">
        <v>47</v>
      </c>
      <c r="D31" s="1">
        <v>1</v>
      </c>
      <c r="E31" s="1">
        <v>15</v>
      </c>
      <c r="F31" s="1">
        <v>31</v>
      </c>
      <c r="G31" s="2">
        <v>53</v>
      </c>
      <c r="H31" s="8" t="s">
        <v>99</v>
      </c>
      <c r="I31" s="2">
        <v>79</v>
      </c>
      <c r="J31" s="2">
        <v>21</v>
      </c>
      <c r="K31" s="11" t="s">
        <v>13</v>
      </c>
    </row>
    <row r="32" spans="1:11" x14ac:dyDescent="0.25">
      <c r="A32" s="9" t="s">
        <v>78</v>
      </c>
      <c r="B32" s="2">
        <v>62</v>
      </c>
      <c r="C32" s="1">
        <f t="shared" ref="C32:C38" si="17">100-B32</f>
        <v>38</v>
      </c>
      <c r="D32" s="2">
        <v>6</v>
      </c>
      <c r="E32" s="2">
        <v>23</v>
      </c>
      <c r="F32" s="2">
        <v>49</v>
      </c>
      <c r="G32" s="1">
        <f t="shared" ref="G32:G38" si="18">100-D32-E32-F32</f>
        <v>22</v>
      </c>
      <c r="H32" s="12" t="s">
        <v>79</v>
      </c>
      <c r="I32" s="2">
        <v>50</v>
      </c>
      <c r="J32" s="1">
        <f t="shared" ref="J32:J34" si="19">100-I32</f>
        <v>50</v>
      </c>
      <c r="K32" s="13" t="s">
        <v>15</v>
      </c>
    </row>
    <row r="33" spans="1:11" x14ac:dyDescent="0.25">
      <c r="A33" s="13" t="s">
        <v>80</v>
      </c>
      <c r="B33" s="2">
        <v>57</v>
      </c>
      <c r="C33" s="1">
        <f t="shared" si="17"/>
        <v>43</v>
      </c>
      <c r="D33" s="2">
        <v>13</v>
      </c>
      <c r="E33" s="2">
        <v>24</v>
      </c>
      <c r="F33" s="2">
        <v>36</v>
      </c>
      <c r="G33" s="1">
        <f t="shared" si="18"/>
        <v>27</v>
      </c>
      <c r="H33" s="12" t="s">
        <v>81</v>
      </c>
      <c r="I33" s="2">
        <v>50</v>
      </c>
      <c r="J33" s="1">
        <f t="shared" si="19"/>
        <v>50</v>
      </c>
      <c r="K33" s="13" t="s">
        <v>13</v>
      </c>
    </row>
    <row r="34" spans="1:11" ht="15.75" thickBot="1" x14ac:dyDescent="0.3">
      <c r="A34" s="13" t="s">
        <v>82</v>
      </c>
      <c r="B34" s="2">
        <v>55</v>
      </c>
      <c r="C34" s="1">
        <f t="shared" si="17"/>
        <v>45</v>
      </c>
      <c r="D34" s="2">
        <v>20</v>
      </c>
      <c r="E34" s="2">
        <v>32</v>
      </c>
      <c r="F34" s="2">
        <v>33</v>
      </c>
      <c r="G34" s="1">
        <f t="shared" si="18"/>
        <v>15</v>
      </c>
      <c r="H34" s="12" t="s">
        <v>83</v>
      </c>
      <c r="I34" s="2">
        <v>55</v>
      </c>
      <c r="J34" s="1">
        <f t="shared" si="19"/>
        <v>45</v>
      </c>
      <c r="K34" s="13" t="s">
        <v>13</v>
      </c>
    </row>
    <row r="35" spans="1:11" ht="15.75" thickBot="1" x14ac:dyDescent="0.3">
      <c r="A35" s="13" t="s">
        <v>84</v>
      </c>
      <c r="B35" s="2">
        <v>61</v>
      </c>
      <c r="C35" s="1">
        <f t="shared" si="17"/>
        <v>39</v>
      </c>
      <c r="D35" s="2">
        <v>7</v>
      </c>
      <c r="E35" s="2">
        <v>18</v>
      </c>
      <c r="F35" s="2">
        <v>32</v>
      </c>
      <c r="G35" s="1">
        <f t="shared" si="18"/>
        <v>43</v>
      </c>
      <c r="H35" s="12" t="s">
        <v>85</v>
      </c>
      <c r="I35" s="2">
        <v>57</v>
      </c>
      <c r="J35" s="2">
        <v>43</v>
      </c>
      <c r="K35" s="6" t="s">
        <v>25</v>
      </c>
    </row>
    <row r="36" spans="1:11" x14ac:dyDescent="0.25">
      <c r="A36" s="13" t="s">
        <v>86</v>
      </c>
      <c r="B36" s="2">
        <v>59</v>
      </c>
      <c r="C36" s="1">
        <f t="shared" si="17"/>
        <v>41</v>
      </c>
      <c r="D36" s="2">
        <v>6</v>
      </c>
      <c r="E36" s="2">
        <v>18</v>
      </c>
      <c r="F36" s="2">
        <v>43</v>
      </c>
      <c r="G36" s="1">
        <f t="shared" si="18"/>
        <v>33</v>
      </c>
      <c r="H36" s="12" t="s">
        <v>87</v>
      </c>
      <c r="I36" s="2">
        <v>67</v>
      </c>
      <c r="J36" s="1">
        <f t="shared" ref="J36:J40" si="20">100-I36</f>
        <v>33</v>
      </c>
      <c r="K36" s="11" t="s">
        <v>13</v>
      </c>
    </row>
    <row r="37" spans="1:11" x14ac:dyDescent="0.25">
      <c r="A37" s="9" t="s">
        <v>88</v>
      </c>
      <c r="B37" s="2">
        <v>60</v>
      </c>
      <c r="C37" s="1">
        <f t="shared" si="17"/>
        <v>40</v>
      </c>
      <c r="D37" s="2">
        <v>7</v>
      </c>
      <c r="E37" s="2">
        <v>25</v>
      </c>
      <c r="F37" s="2">
        <v>41</v>
      </c>
      <c r="G37" s="1">
        <f t="shared" si="18"/>
        <v>27</v>
      </c>
      <c r="H37" s="12" t="s">
        <v>89</v>
      </c>
      <c r="I37" s="2">
        <v>58</v>
      </c>
      <c r="J37" s="1">
        <f t="shared" si="20"/>
        <v>42</v>
      </c>
      <c r="K37" s="13" t="s">
        <v>40</v>
      </c>
    </row>
    <row r="38" spans="1:11" x14ac:dyDescent="0.25">
      <c r="A38" s="9" t="s">
        <v>90</v>
      </c>
      <c r="B38" s="2">
        <v>59</v>
      </c>
      <c r="C38" s="1">
        <f t="shared" si="17"/>
        <v>41</v>
      </c>
      <c r="D38" s="2">
        <v>7</v>
      </c>
      <c r="E38" s="2">
        <v>23</v>
      </c>
      <c r="F38" s="2">
        <v>48</v>
      </c>
      <c r="G38" s="1">
        <f t="shared" si="18"/>
        <v>22</v>
      </c>
      <c r="H38" s="12" t="s">
        <v>91</v>
      </c>
      <c r="I38" s="2">
        <v>48</v>
      </c>
      <c r="J38" s="1">
        <f t="shared" si="20"/>
        <v>52</v>
      </c>
      <c r="K38" s="13" t="s">
        <v>20</v>
      </c>
    </row>
    <row r="39" spans="1:11" ht="15.75" thickBot="1" x14ac:dyDescent="0.3">
      <c r="A39" s="4" t="s">
        <v>92</v>
      </c>
      <c r="B39" s="2">
        <v>61</v>
      </c>
      <c r="C39" s="1">
        <f>100-B39</f>
        <v>39</v>
      </c>
      <c r="D39" s="2">
        <v>7</v>
      </c>
      <c r="E39" s="2">
        <v>26</v>
      </c>
      <c r="F39" s="2">
        <v>42</v>
      </c>
      <c r="G39" s="1">
        <f>100-D39-E39-F39</f>
        <v>25</v>
      </c>
      <c r="H39" s="12" t="s">
        <v>93</v>
      </c>
      <c r="I39" s="2">
        <v>51</v>
      </c>
      <c r="J39" s="1">
        <f t="shared" si="20"/>
        <v>49</v>
      </c>
      <c r="K39" s="11" t="s">
        <v>13</v>
      </c>
    </row>
    <row r="40" spans="1:11" ht="15.75" thickBot="1" x14ac:dyDescent="0.3">
      <c r="A40" s="9" t="s">
        <v>94</v>
      </c>
      <c r="B40" s="2">
        <v>60</v>
      </c>
      <c r="C40" s="1">
        <f t="shared" ref="C40:C41" si="21">100-B40</f>
        <v>40</v>
      </c>
      <c r="D40" s="2">
        <v>4</v>
      </c>
      <c r="E40" s="2">
        <v>15</v>
      </c>
      <c r="F40" s="2">
        <v>47</v>
      </c>
      <c r="G40" s="1">
        <f t="shared" ref="G40:G41" si="22">100-D40-E40-F40</f>
        <v>34</v>
      </c>
      <c r="H40" s="12" t="s">
        <v>95</v>
      </c>
      <c r="I40" s="2">
        <v>70</v>
      </c>
      <c r="J40" s="1">
        <f t="shared" si="20"/>
        <v>30</v>
      </c>
      <c r="K40" s="14" t="s">
        <v>20</v>
      </c>
    </row>
    <row r="41" spans="1:11" ht="15.75" thickBot="1" x14ac:dyDescent="0.3">
      <c r="A41" s="7" t="s">
        <v>96</v>
      </c>
      <c r="B41" s="2">
        <v>49</v>
      </c>
      <c r="C41" s="1">
        <f t="shared" si="21"/>
        <v>51</v>
      </c>
      <c r="D41" s="2">
        <v>4</v>
      </c>
      <c r="E41" s="2">
        <v>14</v>
      </c>
      <c r="F41" s="2">
        <v>31</v>
      </c>
      <c r="G41" s="1">
        <f t="shared" si="22"/>
        <v>51</v>
      </c>
      <c r="H41" s="12" t="s">
        <v>97</v>
      </c>
      <c r="I41" s="2">
        <v>85</v>
      </c>
      <c r="J41" s="2">
        <v>15</v>
      </c>
      <c r="K41" s="6" t="s">
        <v>13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2026-07-11T10:27:58Z</dcterms:modified>
</cp:coreProperties>
</file>