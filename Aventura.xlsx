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banco365-my.sharepoint.com/personal/carlos_barcellos_bb_com_br/Documents/Documentos/Outros/MBA/Tabelas/"/>
    </mc:Choice>
  </mc:AlternateContent>
  <xr:revisionPtr revIDLastSave="34" documentId="11_F25DC773A252ABDACC1048B8919B58365BDE5900" xr6:coauthVersionLast="47" xr6:coauthVersionMax="47" xr10:uidLastSave="{DB032F67-FB4C-4C2E-B01B-008FB79F83DE}"/>
  <bookViews>
    <workbookView xWindow="19090" yWindow="-64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3" i="1" l="1"/>
  <c r="C73" i="1"/>
  <c r="C72" i="1"/>
  <c r="J70" i="1"/>
  <c r="G70" i="1"/>
  <c r="C70" i="1"/>
  <c r="J69" i="1"/>
  <c r="G69" i="1"/>
  <c r="C69" i="1"/>
  <c r="J68" i="1"/>
  <c r="G68" i="1"/>
  <c r="C68" i="1"/>
  <c r="C67" i="1"/>
  <c r="J66" i="1"/>
  <c r="C66" i="1"/>
  <c r="J65" i="1"/>
  <c r="G65" i="1"/>
  <c r="C65" i="1"/>
  <c r="G64" i="1"/>
  <c r="G63" i="1"/>
  <c r="J62" i="1"/>
  <c r="G62" i="1"/>
  <c r="C62" i="1"/>
  <c r="J61" i="1"/>
  <c r="G61" i="1"/>
  <c r="C61" i="1"/>
  <c r="G60" i="1"/>
  <c r="J59" i="1"/>
  <c r="C59" i="1"/>
  <c r="G58" i="1"/>
  <c r="C58" i="1"/>
  <c r="J57" i="1"/>
  <c r="G57" i="1"/>
  <c r="C57" i="1"/>
  <c r="J56" i="1"/>
  <c r="G56" i="1"/>
  <c r="C56" i="1"/>
  <c r="J55" i="1"/>
  <c r="G55" i="1"/>
  <c r="C55" i="1"/>
  <c r="G54" i="1"/>
  <c r="C54" i="1"/>
  <c r="J53" i="1"/>
  <c r="G53" i="1"/>
  <c r="C53" i="1"/>
  <c r="J52" i="1"/>
  <c r="G52" i="1"/>
  <c r="C52" i="1"/>
  <c r="J51" i="1"/>
  <c r="G51" i="1"/>
  <c r="C51" i="1"/>
  <c r="G50" i="1"/>
  <c r="C50" i="1"/>
  <c r="J49" i="1"/>
  <c r="G49" i="1"/>
  <c r="C49" i="1"/>
  <c r="J48" i="1"/>
  <c r="G48" i="1"/>
  <c r="C48" i="1"/>
  <c r="J47" i="1"/>
  <c r="G47" i="1"/>
  <c r="C47" i="1"/>
  <c r="J46" i="1"/>
  <c r="G46" i="1"/>
  <c r="C46" i="1"/>
  <c r="G45" i="1"/>
  <c r="C45" i="1"/>
  <c r="J44" i="1"/>
  <c r="G44" i="1"/>
  <c r="C44" i="1"/>
  <c r="G43" i="1"/>
  <c r="C43" i="1"/>
  <c r="J42" i="1"/>
  <c r="G42" i="1"/>
  <c r="C42" i="1"/>
  <c r="J41" i="1"/>
  <c r="G41" i="1"/>
  <c r="C41" i="1"/>
  <c r="J40" i="1"/>
  <c r="G40" i="1"/>
  <c r="C40" i="1"/>
  <c r="G39" i="1"/>
  <c r="C39" i="1"/>
  <c r="G38" i="1"/>
  <c r="C38" i="1"/>
  <c r="G37" i="1"/>
  <c r="C37" i="1"/>
  <c r="J36" i="1"/>
  <c r="G36" i="1"/>
  <c r="C36" i="1"/>
  <c r="J35" i="1"/>
  <c r="G35" i="1"/>
  <c r="C35" i="1"/>
  <c r="J34" i="1"/>
  <c r="G34" i="1"/>
  <c r="C34" i="1"/>
  <c r="J33" i="1"/>
  <c r="G33" i="1"/>
  <c r="C33" i="1"/>
  <c r="J32" i="1"/>
  <c r="G32" i="1"/>
  <c r="C32" i="1"/>
  <c r="G31" i="1"/>
  <c r="C31" i="1"/>
  <c r="G30" i="1"/>
  <c r="C30" i="1"/>
  <c r="J29" i="1"/>
  <c r="G29" i="1"/>
  <c r="C29" i="1"/>
  <c r="G28" i="1"/>
  <c r="C28" i="1"/>
  <c r="J27" i="1"/>
  <c r="G27" i="1"/>
  <c r="C27" i="1"/>
  <c r="J26" i="1"/>
  <c r="G26" i="1"/>
  <c r="C26" i="1"/>
  <c r="G25" i="1"/>
  <c r="C25" i="1"/>
  <c r="J24" i="1"/>
  <c r="C24" i="1"/>
  <c r="J23" i="1"/>
  <c r="G23" i="1"/>
  <c r="C23" i="1"/>
  <c r="J22" i="1"/>
  <c r="G22" i="1"/>
  <c r="C22" i="1"/>
  <c r="J21" i="1"/>
  <c r="G21" i="1"/>
  <c r="C21" i="1"/>
  <c r="J20" i="1"/>
  <c r="G20" i="1"/>
  <c r="C20" i="1"/>
  <c r="J19" i="1"/>
  <c r="G19" i="1"/>
  <c r="C19" i="1"/>
  <c r="J18" i="1"/>
  <c r="G18" i="1"/>
  <c r="C18" i="1"/>
  <c r="J17" i="1"/>
  <c r="G17" i="1"/>
  <c r="C17" i="1"/>
  <c r="J16" i="1"/>
  <c r="G16" i="1"/>
  <c r="C16" i="1"/>
  <c r="G15" i="1"/>
  <c r="C15" i="1"/>
  <c r="J14" i="1"/>
  <c r="G14" i="1"/>
  <c r="C14" i="1"/>
  <c r="J13" i="1"/>
  <c r="G13" i="1"/>
  <c r="C13" i="1"/>
  <c r="J12" i="1"/>
  <c r="G12" i="1"/>
  <c r="C12" i="1"/>
  <c r="J11" i="1"/>
  <c r="G11" i="1"/>
  <c r="C11" i="1"/>
  <c r="J10" i="1"/>
  <c r="G10" i="1"/>
  <c r="C10" i="1"/>
  <c r="G6" i="1"/>
  <c r="G4" i="1"/>
  <c r="C4" i="1"/>
  <c r="J3" i="1"/>
  <c r="G3" i="1"/>
  <c r="C3" i="1"/>
  <c r="J2" i="1"/>
  <c r="G2" i="1"/>
  <c r="C2" i="1"/>
</calcChain>
</file>

<file path=xl/sharedStrings.xml><?xml version="1.0" encoding="utf-8"?>
<sst xmlns="http://schemas.openxmlformats.org/spreadsheetml/2006/main" count="225" uniqueCount="161">
  <si>
    <t>Filme</t>
  </si>
  <si>
    <t>Homens-Pct</t>
  </si>
  <si>
    <t>Mulheres-Pct</t>
  </si>
  <si>
    <t>Baby-Boomers-Pct</t>
  </si>
  <si>
    <t>Gen-X-Pct</t>
  </si>
  <si>
    <t>Gen-Y-Pct</t>
  </si>
  <si>
    <t>Gen-Z-Pct</t>
  </si>
  <si>
    <t>Bilheteria-Mundial-Milhoes</t>
  </si>
  <si>
    <t>Não-Frequente</t>
  </si>
  <si>
    <t xml:space="preserve">Frequente </t>
  </si>
  <si>
    <t>CinemaScore</t>
  </si>
  <si>
    <t>Everything Everywhere All at Once</t>
  </si>
  <si>
    <t>147,946,670</t>
  </si>
  <si>
    <t>A+</t>
  </si>
  <si>
    <t>Godzilla Minus One</t>
  </si>
  <si>
    <t>113,820,494</t>
  </si>
  <si>
    <t>A</t>
  </si>
  <si>
    <t>The Matrix Resurrections</t>
  </si>
  <si>
    <t>157,386,805</t>
  </si>
  <si>
    <t>B-</t>
  </si>
  <si>
    <t>Superman</t>
  </si>
  <si>
    <t>618,723,803</t>
  </si>
  <si>
    <t>A-</t>
  </si>
  <si>
    <t>521,858,728</t>
  </si>
  <si>
    <t>Jurassic World Rebirth</t>
  </si>
  <si>
    <t>869,146,189</t>
  </si>
  <si>
    <t>B</t>
  </si>
  <si>
    <t>Captain America: Brave New World</t>
  </si>
  <si>
    <t>415,101,577</t>
  </si>
  <si>
    <t>Thunderbolts</t>
  </si>
  <si>
    <t>382,436,917</t>
  </si>
  <si>
    <t>Deadpool &amp; Wolverine</t>
  </si>
  <si>
    <t>1,338,073,645</t>
  </si>
  <si>
    <t xml:space="preserve">Uncharted </t>
  </si>
  <si>
    <t>407,141,258</t>
  </si>
  <si>
    <t>B+</t>
  </si>
  <si>
    <t>Red One</t>
  </si>
  <si>
    <t>186,000,759</t>
  </si>
  <si>
    <t>Shazam! Fury of the Gods</t>
  </si>
  <si>
    <t>134,138,006</t>
  </si>
  <si>
    <t>Ant-Man and the Wasp: Quantumania</t>
  </si>
  <si>
    <t>476,071,180</t>
  </si>
  <si>
    <t>Venom: Let There Be Carnage</t>
  </si>
  <si>
    <t>506,813,864</t>
  </si>
  <si>
    <t>Black Panther: Wakanda Forever</t>
  </si>
  <si>
    <t>859,208,836</t>
  </si>
  <si>
    <t>Kingdom of the Planet of the Apes</t>
  </si>
  <si>
    <t>397,378,150</t>
  </si>
  <si>
    <t>Avatar: The Way of Water</t>
  </si>
  <si>
    <t>2,334,484,620</t>
  </si>
  <si>
    <t>Aquaman and the Lost Kingdom</t>
  </si>
  <si>
    <t>440,181,226</t>
  </si>
  <si>
    <t>Transformers: Rise of the Beasts</t>
  </si>
  <si>
    <t>441,656,550</t>
  </si>
  <si>
    <t>The Marvels</t>
  </si>
  <si>
    <t>206,136,825</t>
  </si>
  <si>
    <t>Moonfall</t>
  </si>
  <si>
    <t>67,319,703</t>
  </si>
  <si>
    <t>C+</t>
  </si>
  <si>
    <t>Blue Beetle</t>
  </si>
  <si>
    <t>130,788,072</t>
  </si>
  <si>
    <t>Sonic the Hedgehog 2</t>
  </si>
  <si>
    <t>405,421,518</t>
  </si>
  <si>
    <t>Jungle Cruise</t>
  </si>
  <si>
    <t>220,889,446</t>
  </si>
  <si>
    <t>Dungeons &amp; Dragons: Honor Among Thieves</t>
  </si>
  <si>
    <t>205,460,387</t>
  </si>
  <si>
    <t>Thor: Love and Thunder</t>
  </si>
  <si>
    <t>760,928,081</t>
  </si>
  <si>
    <t>The Suicide Squad</t>
  </si>
  <si>
    <t>168,717,425</t>
  </si>
  <si>
    <t>Borderlands</t>
  </si>
  <si>
    <t>33,017,367</t>
  </si>
  <si>
    <t>D+</t>
  </si>
  <si>
    <t>Chaos Walking</t>
  </si>
  <si>
    <t>26,508,132</t>
  </si>
  <si>
    <t>Dune: Part One</t>
  </si>
  <si>
    <t>410,668,500</t>
  </si>
  <si>
    <t>The Creator</t>
  </si>
  <si>
    <t>104,272,136</t>
  </si>
  <si>
    <t>The Hunger Games: The Ballad of Songbirds &amp; Snakes</t>
  </si>
  <si>
    <t>361,791,134</t>
  </si>
  <si>
    <t>The Flash</t>
  </si>
  <si>
    <t>271,433,313</t>
  </si>
  <si>
    <t>Black Adam</t>
  </si>
  <si>
    <t>393,452,111</t>
  </si>
  <si>
    <t>Doctor Strange in the Multiverse of Madness</t>
  </si>
  <si>
    <t>955,775,804</t>
  </si>
  <si>
    <t>Spider-Man: No Way Home</t>
  </si>
  <si>
    <t>1,921,426,073</t>
  </si>
  <si>
    <t>Eternals</t>
  </si>
  <si>
    <t>402,064,899</t>
  </si>
  <si>
    <t>Shang-Chi and the Legend of the Ten Rings</t>
  </si>
  <si>
    <t>432,243,292</t>
  </si>
  <si>
    <t xml:space="preserve">Morbius </t>
  </si>
  <si>
    <t>167,460,961</t>
  </si>
  <si>
    <t>Indiana Jones and the Dial of Destiny</t>
  </si>
  <si>
    <t>383,963,057</t>
  </si>
  <si>
    <t>Tron: Ares</t>
  </si>
  <si>
    <t>142,249,983</t>
  </si>
  <si>
    <t>Black Widow</t>
  </si>
  <si>
    <t>379,751,655</t>
  </si>
  <si>
    <t>Jurassic World: Dominion</t>
  </si>
  <si>
    <t>1,001,978,080</t>
  </si>
  <si>
    <t>The King's Man</t>
  </si>
  <si>
    <t>125,897,478</t>
  </si>
  <si>
    <t>Karate Kid: Legends</t>
  </si>
  <si>
    <t>117,105,466</t>
  </si>
  <si>
    <t>Hypnotic</t>
  </si>
  <si>
    <t>16,281,937</t>
  </si>
  <si>
    <t>Venom: The Last Dance</t>
  </si>
  <si>
    <t>478,937,618</t>
  </si>
  <si>
    <t>Madame Web</t>
  </si>
  <si>
    <t>100,498,764</t>
  </si>
  <si>
    <t>Peter Rabbit 2: The Runaway</t>
  </si>
  <si>
    <t>153,901,717</t>
  </si>
  <si>
    <t>Harold and the Purple Crayon</t>
  </si>
  <si>
    <t>32,227,855</t>
  </si>
  <si>
    <t>Gabby's Dollhouse: The Movie</t>
  </si>
  <si>
    <t>80,826,055</t>
  </si>
  <si>
    <t>Space Jam: A New Legacy</t>
  </si>
  <si>
    <t>163,692,228</t>
  </si>
  <si>
    <t>Cruella</t>
  </si>
  <si>
    <t>233,503,234</t>
  </si>
  <si>
    <t>Paddington in Peru</t>
  </si>
  <si>
    <t>211,000,000</t>
  </si>
  <si>
    <t>Mickey 17</t>
  </si>
  <si>
    <t>133,542,263</t>
  </si>
  <si>
    <t>Ghostbusters: Frozen Empire</t>
  </si>
  <si>
    <t>201,967,521</t>
  </si>
  <si>
    <t>Ghostbusters: Afterlife</t>
  </si>
  <si>
    <t>204,445,747</t>
  </si>
  <si>
    <t>Fantastic Beasts: The Secrets of Dumbledore</t>
  </si>
  <si>
    <t>407,150,844</t>
  </si>
  <si>
    <t>How to Train Your Dragon</t>
  </si>
  <si>
    <t>636,596,299</t>
  </si>
  <si>
    <t>960,387,780</t>
  </si>
  <si>
    <t>Twisters</t>
  </si>
  <si>
    <t>372,262,265</t>
  </si>
  <si>
    <t>Mufasa: The Lion King</t>
  </si>
  <si>
    <t>722,631,756</t>
  </si>
  <si>
    <t>A Minecraft Movie</t>
  </si>
  <si>
    <t>Lilo &amp; Stitch</t>
  </si>
  <si>
    <t>1,038,027,526</t>
  </si>
  <si>
    <t>Guardians of the Galaxy Vol. 3</t>
  </si>
  <si>
    <t>845,555,777</t>
  </si>
  <si>
    <t>1,485,999,890</t>
  </si>
  <si>
    <t>Dune: Part Two</t>
  </si>
  <si>
    <t>714,844,358</t>
  </si>
  <si>
    <t>Sonic the Hedgehog 3</t>
  </si>
  <si>
    <t>492,162,604</t>
  </si>
  <si>
    <t>The Batman</t>
  </si>
  <si>
    <t>772,775,278</t>
  </si>
  <si>
    <t xml:space="preserve">Now You See Me: Now You Don't </t>
  </si>
  <si>
    <t>246,249,474</t>
  </si>
  <si>
    <t xml:space="preserve">Wonka </t>
  </si>
  <si>
    <t>634,502,312</t>
  </si>
  <si>
    <t>Wicked</t>
  </si>
  <si>
    <t>Fantastic Four: First Steps</t>
  </si>
  <si>
    <t>Avatar: Fire and Ashes</t>
  </si>
  <si>
    <t>Wicked: For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</si>
</sst>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left"/>
    </xf>
    <xf numFmtId="3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topLeftCell="A60" workbookViewId="0">
      <selection activeCell="A73" sqref="A73"/>
    </sheetView>
  </sheetViews>
  <sheetFormatPr defaultRowHeight="15" x14ac:dyDescent="0.25"/>
  <cols>
    <col min="1" max="1" width="39.42578125" bestFit="1" customWidth="1"/>
    <col min="2" max="2" width="11.7109375" bestFit="1" customWidth="1"/>
    <col min="3" max="3" width="12.28515625" bestFit="1" customWidth="1"/>
    <col min="4" max="4" width="17.85546875" bestFit="1" customWidth="1"/>
    <col min="5" max="5" width="10" bestFit="1" customWidth="1"/>
    <col min="6" max="6" width="8.85546875" customWidth="1"/>
    <col min="7" max="7" width="9.85546875" bestFit="1" customWidth="1"/>
    <col min="8" max="8" width="24" bestFit="1" customWidth="1"/>
    <col min="9" max="9" width="14" bestFit="1" customWidth="1"/>
    <col min="10" max="10" width="9.42578125" bestFit="1" customWidth="1"/>
    <col min="11" max="11" width="12.85546875" bestFit="1" customWidth="1"/>
  </cols>
  <sheetData>
    <row r="1" spans="1:11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</row>
    <row r="2" spans="1:11" ht="15.75" thickBot="1" x14ac:dyDescent="0.3">
      <c r="A2" s="4" t="s">
        <v>11</v>
      </c>
      <c r="B2" s="2">
        <v>64</v>
      </c>
      <c r="C2" s="1">
        <f t="shared" ref="C2:C3" si="0">100-B2</f>
        <v>36</v>
      </c>
      <c r="D2" s="2">
        <v>8</v>
      </c>
      <c r="E2" s="2">
        <v>22</v>
      </c>
      <c r="F2" s="2">
        <v>44</v>
      </c>
      <c r="G2" s="1">
        <f>100-D2-E2-F2</f>
        <v>26</v>
      </c>
      <c r="H2" s="5" t="s">
        <v>12</v>
      </c>
      <c r="I2" s="2">
        <v>59</v>
      </c>
      <c r="J2" s="1">
        <f t="shared" ref="J2:J3" si="1">100-I2</f>
        <v>41</v>
      </c>
      <c r="K2" s="6" t="s">
        <v>13</v>
      </c>
    </row>
    <row r="3" spans="1:11" ht="15.75" thickBot="1" x14ac:dyDescent="0.3">
      <c r="A3" s="7" t="s">
        <v>14</v>
      </c>
      <c r="B3" s="2">
        <v>79</v>
      </c>
      <c r="C3" s="1">
        <f t="shared" si="0"/>
        <v>21</v>
      </c>
      <c r="D3" s="2">
        <v>5</v>
      </c>
      <c r="E3" s="2">
        <v>25</v>
      </c>
      <c r="F3" s="2">
        <v>46</v>
      </c>
      <c r="G3" s="1">
        <f t="shared" ref="G3:G4" si="2">100-D3-E3-F3</f>
        <v>24</v>
      </c>
      <c r="H3" s="5" t="s">
        <v>15</v>
      </c>
      <c r="I3" s="2">
        <v>65</v>
      </c>
      <c r="J3" s="1">
        <f t="shared" si="1"/>
        <v>35</v>
      </c>
      <c r="K3" s="6" t="s">
        <v>16</v>
      </c>
    </row>
    <row r="4" spans="1:11" ht="15.75" thickBot="1" x14ac:dyDescent="0.3">
      <c r="A4" s="4" t="s">
        <v>17</v>
      </c>
      <c r="B4" s="2">
        <v>63</v>
      </c>
      <c r="C4" s="1">
        <f>100-B4</f>
        <v>37</v>
      </c>
      <c r="D4" s="2">
        <v>7</v>
      </c>
      <c r="E4" s="2">
        <v>31</v>
      </c>
      <c r="F4" s="2">
        <v>45</v>
      </c>
      <c r="G4" s="1">
        <f t="shared" si="2"/>
        <v>17</v>
      </c>
      <c r="H4" s="5" t="s">
        <v>18</v>
      </c>
      <c r="I4" s="2">
        <v>71</v>
      </c>
      <c r="J4" s="2">
        <v>29</v>
      </c>
      <c r="K4" s="6" t="s">
        <v>19</v>
      </c>
    </row>
    <row r="5" spans="1:11" ht="15.75" thickBot="1" x14ac:dyDescent="0.3">
      <c r="A5" s="8" t="s">
        <v>20</v>
      </c>
      <c r="B5" s="1">
        <v>72</v>
      </c>
      <c r="C5" s="1">
        <v>28</v>
      </c>
      <c r="D5" s="1">
        <v>7</v>
      </c>
      <c r="E5" s="1">
        <v>28</v>
      </c>
      <c r="F5" s="1">
        <v>40</v>
      </c>
      <c r="G5" s="1">
        <v>25</v>
      </c>
      <c r="H5" s="9" t="s">
        <v>21</v>
      </c>
      <c r="I5" s="2">
        <v>76</v>
      </c>
      <c r="J5" s="2">
        <v>24</v>
      </c>
      <c r="K5" s="6" t="s">
        <v>22</v>
      </c>
    </row>
    <row r="6" spans="1:11" ht="15.75" thickBot="1" x14ac:dyDescent="0.3">
      <c r="A6" s="8" t="s">
        <v>158</v>
      </c>
      <c r="B6" s="1">
        <v>72</v>
      </c>
      <c r="C6" s="1">
        <v>28</v>
      </c>
      <c r="D6" s="1">
        <v>4</v>
      </c>
      <c r="E6" s="1">
        <v>22</v>
      </c>
      <c r="F6" s="1">
        <v>43</v>
      </c>
      <c r="G6" s="1">
        <f>100-D6-E6-F6</f>
        <v>31</v>
      </c>
      <c r="H6" s="9" t="s">
        <v>23</v>
      </c>
      <c r="I6" s="1">
        <v>73</v>
      </c>
      <c r="J6" s="1">
        <v>27</v>
      </c>
      <c r="K6" s="6" t="s">
        <v>22</v>
      </c>
    </row>
    <row r="7" spans="1:11" ht="15.75" thickBot="1" x14ac:dyDescent="0.3">
      <c r="A7" s="8" t="s">
        <v>24</v>
      </c>
      <c r="B7" s="1">
        <v>54</v>
      </c>
      <c r="C7" s="1">
        <v>46</v>
      </c>
      <c r="D7" s="1">
        <v>10</v>
      </c>
      <c r="E7" s="1">
        <v>29</v>
      </c>
      <c r="F7" s="1">
        <v>44</v>
      </c>
      <c r="G7" s="1">
        <v>17</v>
      </c>
      <c r="H7" s="9" t="s">
        <v>25</v>
      </c>
      <c r="I7" s="1">
        <v>81</v>
      </c>
      <c r="J7" s="1">
        <v>19</v>
      </c>
      <c r="K7" s="6" t="s">
        <v>26</v>
      </c>
    </row>
    <row r="8" spans="1:11" ht="15.75" thickBot="1" x14ac:dyDescent="0.3">
      <c r="A8" s="8" t="s">
        <v>27</v>
      </c>
      <c r="B8" s="1">
        <v>68</v>
      </c>
      <c r="C8" s="1">
        <v>32</v>
      </c>
      <c r="D8" s="1">
        <v>5</v>
      </c>
      <c r="E8" s="1">
        <v>25</v>
      </c>
      <c r="F8" s="1">
        <v>44</v>
      </c>
      <c r="G8" s="1">
        <v>26</v>
      </c>
      <c r="H8" s="9" t="s">
        <v>28</v>
      </c>
      <c r="I8" s="1">
        <v>83</v>
      </c>
      <c r="J8" s="1">
        <v>17</v>
      </c>
      <c r="K8" s="6" t="s">
        <v>19</v>
      </c>
    </row>
    <row r="9" spans="1:11" ht="15.75" thickBot="1" x14ac:dyDescent="0.3">
      <c r="A9" s="8" t="s">
        <v>29</v>
      </c>
      <c r="B9" s="2">
        <v>71</v>
      </c>
      <c r="C9" s="2">
        <v>29</v>
      </c>
      <c r="D9" s="1">
        <v>5</v>
      </c>
      <c r="E9" s="1">
        <v>24</v>
      </c>
      <c r="F9" s="1">
        <v>43</v>
      </c>
      <c r="G9" s="2">
        <v>28</v>
      </c>
      <c r="H9" s="9" t="s">
        <v>30</v>
      </c>
      <c r="I9" s="1">
        <v>78</v>
      </c>
      <c r="J9" s="1">
        <v>22</v>
      </c>
      <c r="K9" s="6" t="s">
        <v>22</v>
      </c>
    </row>
    <row r="10" spans="1:11" ht="15.75" thickBot="1" x14ac:dyDescent="0.3">
      <c r="A10" s="8" t="s">
        <v>31</v>
      </c>
      <c r="B10" s="1">
        <v>67</v>
      </c>
      <c r="C10" s="1">
        <f t="shared" ref="C10:C30" si="3">100-B10</f>
        <v>33</v>
      </c>
      <c r="D10" s="1">
        <v>3</v>
      </c>
      <c r="E10" s="1">
        <v>20</v>
      </c>
      <c r="F10" s="1">
        <v>50</v>
      </c>
      <c r="G10" s="1">
        <f>100-D10-E10-F10</f>
        <v>27</v>
      </c>
      <c r="H10" s="10" t="s">
        <v>32</v>
      </c>
      <c r="I10" s="1">
        <v>84</v>
      </c>
      <c r="J10" s="1">
        <f t="shared" ref="J10:J14" si="4">100-I10</f>
        <v>16</v>
      </c>
      <c r="K10" s="6" t="s">
        <v>16</v>
      </c>
    </row>
    <row r="11" spans="1:11" ht="15.75" thickBot="1" x14ac:dyDescent="0.3">
      <c r="A11" s="7" t="s">
        <v>33</v>
      </c>
      <c r="B11" s="2">
        <v>55</v>
      </c>
      <c r="C11" s="1">
        <f t="shared" si="3"/>
        <v>45</v>
      </c>
      <c r="D11" s="2">
        <v>8</v>
      </c>
      <c r="E11" s="2">
        <v>26</v>
      </c>
      <c r="F11" s="2">
        <v>36</v>
      </c>
      <c r="G11" s="1">
        <f t="shared" ref="G11:G16" si="5">100-D11-E11-F11</f>
        <v>30</v>
      </c>
      <c r="H11" s="5" t="s">
        <v>34</v>
      </c>
      <c r="I11" s="2">
        <v>71</v>
      </c>
      <c r="J11" s="1">
        <f t="shared" si="4"/>
        <v>29</v>
      </c>
      <c r="K11" s="6" t="s">
        <v>35</v>
      </c>
    </row>
    <row r="12" spans="1:11" ht="15.75" thickBot="1" x14ac:dyDescent="0.3">
      <c r="A12" s="7" t="s">
        <v>36</v>
      </c>
      <c r="B12" s="2">
        <v>53</v>
      </c>
      <c r="C12" s="1">
        <f t="shared" si="3"/>
        <v>47</v>
      </c>
      <c r="D12" s="2">
        <v>16</v>
      </c>
      <c r="E12" s="2">
        <v>34</v>
      </c>
      <c r="F12" s="2">
        <v>32</v>
      </c>
      <c r="G12" s="11">
        <f t="shared" si="5"/>
        <v>18</v>
      </c>
      <c r="H12" s="5" t="s">
        <v>37</v>
      </c>
      <c r="I12" s="2">
        <v>63</v>
      </c>
      <c r="J12" s="1">
        <f t="shared" si="4"/>
        <v>37</v>
      </c>
      <c r="K12" s="6" t="s">
        <v>22</v>
      </c>
    </row>
    <row r="13" spans="1:11" x14ac:dyDescent="0.25">
      <c r="A13" s="12" t="s">
        <v>38</v>
      </c>
      <c r="B13" s="2">
        <v>64</v>
      </c>
      <c r="C13" s="1">
        <f t="shared" si="3"/>
        <v>36</v>
      </c>
      <c r="D13" s="2">
        <v>5</v>
      </c>
      <c r="E13" s="2">
        <v>26</v>
      </c>
      <c r="F13" s="2">
        <v>45</v>
      </c>
      <c r="G13" s="11">
        <f t="shared" si="5"/>
        <v>24</v>
      </c>
      <c r="H13" s="11" t="s">
        <v>39</v>
      </c>
      <c r="I13" s="2">
        <v>68</v>
      </c>
      <c r="J13" s="1">
        <f t="shared" si="4"/>
        <v>32</v>
      </c>
      <c r="K13" s="13" t="s">
        <v>35</v>
      </c>
    </row>
    <row r="14" spans="1:11" x14ac:dyDescent="0.25">
      <c r="A14" s="12" t="s">
        <v>40</v>
      </c>
      <c r="B14" s="2">
        <v>66</v>
      </c>
      <c r="C14" s="1">
        <f t="shared" si="3"/>
        <v>34</v>
      </c>
      <c r="D14" s="2">
        <v>3</v>
      </c>
      <c r="E14" s="2">
        <v>19</v>
      </c>
      <c r="F14" s="2">
        <v>46</v>
      </c>
      <c r="G14" s="11">
        <f t="shared" si="5"/>
        <v>32</v>
      </c>
      <c r="H14" s="11" t="s">
        <v>41</v>
      </c>
      <c r="I14" s="2">
        <v>84</v>
      </c>
      <c r="J14" s="1">
        <f t="shared" si="4"/>
        <v>16</v>
      </c>
      <c r="K14" s="13" t="s">
        <v>26</v>
      </c>
    </row>
    <row r="15" spans="1:11" x14ac:dyDescent="0.25">
      <c r="A15" s="4" t="s">
        <v>42</v>
      </c>
      <c r="B15" s="2">
        <v>66</v>
      </c>
      <c r="C15" s="1">
        <f t="shared" si="3"/>
        <v>34</v>
      </c>
      <c r="D15" s="2">
        <v>1</v>
      </c>
      <c r="E15" s="2">
        <v>12</v>
      </c>
      <c r="F15" s="2">
        <v>40</v>
      </c>
      <c r="G15" s="11">
        <f t="shared" si="5"/>
        <v>47</v>
      </c>
      <c r="H15" s="5" t="s">
        <v>43</v>
      </c>
      <c r="I15" s="2">
        <v>85</v>
      </c>
      <c r="J15" s="2">
        <v>15</v>
      </c>
      <c r="K15" s="14" t="s">
        <v>35</v>
      </c>
    </row>
    <row r="16" spans="1:11" x14ac:dyDescent="0.25">
      <c r="A16" s="12" t="s">
        <v>44</v>
      </c>
      <c r="B16" s="2">
        <v>56</v>
      </c>
      <c r="C16" s="1">
        <f t="shared" si="3"/>
        <v>44</v>
      </c>
      <c r="D16" s="2">
        <v>4</v>
      </c>
      <c r="E16" s="2">
        <v>20</v>
      </c>
      <c r="F16" s="2">
        <v>47</v>
      </c>
      <c r="G16" s="11">
        <f t="shared" si="5"/>
        <v>29</v>
      </c>
      <c r="H16" s="11" t="s">
        <v>45</v>
      </c>
      <c r="I16" s="2">
        <v>82</v>
      </c>
      <c r="J16" s="1">
        <f t="shared" ref="J16:J21" si="6">100-I16</f>
        <v>18</v>
      </c>
      <c r="K16" s="13" t="s">
        <v>16</v>
      </c>
    </row>
    <row r="17" spans="1:11" ht="15.75" thickBot="1" x14ac:dyDescent="0.3">
      <c r="A17" s="8" t="s">
        <v>46</v>
      </c>
      <c r="B17" s="2">
        <v>61</v>
      </c>
      <c r="C17" s="1">
        <f t="shared" si="3"/>
        <v>39</v>
      </c>
      <c r="D17" s="2">
        <v>9</v>
      </c>
      <c r="E17" s="2">
        <v>27</v>
      </c>
      <c r="F17" s="2">
        <v>40</v>
      </c>
      <c r="G17" s="1">
        <f>100-D17-E17-F17</f>
        <v>24</v>
      </c>
      <c r="H17" s="5" t="s">
        <v>47</v>
      </c>
      <c r="I17" s="2">
        <v>74</v>
      </c>
      <c r="J17" s="1">
        <f t="shared" si="6"/>
        <v>26</v>
      </c>
      <c r="K17" s="14" t="s">
        <v>26</v>
      </c>
    </row>
    <row r="18" spans="1:11" ht="15.75" thickBot="1" x14ac:dyDescent="0.3">
      <c r="A18" s="12" t="s">
        <v>48</v>
      </c>
      <c r="B18" s="2">
        <v>57</v>
      </c>
      <c r="C18" s="1">
        <f t="shared" si="3"/>
        <v>43</v>
      </c>
      <c r="D18" s="2">
        <v>6</v>
      </c>
      <c r="E18" s="2">
        <v>20</v>
      </c>
      <c r="F18" s="2">
        <v>43</v>
      </c>
      <c r="G18" s="11">
        <f t="shared" ref="G18:G19" si="7">100-D18-E18-F18</f>
        <v>31</v>
      </c>
      <c r="H18" s="11" t="s">
        <v>49</v>
      </c>
      <c r="I18" s="2">
        <v>82</v>
      </c>
      <c r="J18" s="1">
        <f t="shared" si="6"/>
        <v>18</v>
      </c>
      <c r="K18" s="15" t="s">
        <v>16</v>
      </c>
    </row>
    <row r="19" spans="1:11" ht="15.75" thickBot="1" x14ac:dyDescent="0.3">
      <c r="A19" s="7" t="s">
        <v>50</v>
      </c>
      <c r="B19" s="2">
        <v>61</v>
      </c>
      <c r="C19" s="1">
        <f t="shared" si="3"/>
        <v>39</v>
      </c>
      <c r="D19" s="2">
        <v>9</v>
      </c>
      <c r="E19" s="2">
        <v>30</v>
      </c>
      <c r="F19" s="2">
        <v>41</v>
      </c>
      <c r="G19" s="1">
        <f t="shared" si="7"/>
        <v>20</v>
      </c>
      <c r="H19" s="5" t="s">
        <v>51</v>
      </c>
      <c r="I19" s="2">
        <v>66</v>
      </c>
      <c r="J19" s="1">
        <f t="shared" si="6"/>
        <v>34</v>
      </c>
      <c r="K19" s="6" t="s">
        <v>26</v>
      </c>
    </row>
    <row r="20" spans="1:11" ht="15.75" thickBot="1" x14ac:dyDescent="0.3">
      <c r="A20" s="12" t="s">
        <v>52</v>
      </c>
      <c r="B20" s="2">
        <v>62</v>
      </c>
      <c r="C20" s="1">
        <f t="shared" si="3"/>
        <v>38</v>
      </c>
      <c r="D20" s="2">
        <v>4</v>
      </c>
      <c r="E20" s="2">
        <v>22</v>
      </c>
      <c r="F20" s="2">
        <v>45</v>
      </c>
      <c r="G20" s="1">
        <f>100-D20-E20-F20</f>
        <v>29</v>
      </c>
      <c r="H20" s="11" t="s">
        <v>53</v>
      </c>
      <c r="I20" s="2">
        <v>70</v>
      </c>
      <c r="J20" s="1">
        <f t="shared" si="6"/>
        <v>30</v>
      </c>
      <c r="K20" s="15" t="s">
        <v>22</v>
      </c>
    </row>
    <row r="21" spans="1:11" ht="15.75" thickBot="1" x14ac:dyDescent="0.3">
      <c r="A21" s="12" t="s">
        <v>54</v>
      </c>
      <c r="B21" s="2">
        <v>65</v>
      </c>
      <c r="C21" s="1">
        <f t="shared" si="3"/>
        <v>35</v>
      </c>
      <c r="D21" s="2">
        <v>6</v>
      </c>
      <c r="E21" s="2">
        <v>27</v>
      </c>
      <c r="F21" s="2">
        <v>47</v>
      </c>
      <c r="G21" s="11">
        <f t="shared" ref="G21:G23" si="8">100-D21-E21-F21</f>
        <v>20</v>
      </c>
      <c r="H21" s="11" t="s">
        <v>55</v>
      </c>
      <c r="I21" s="2">
        <v>66</v>
      </c>
      <c r="J21" s="1">
        <f t="shared" si="6"/>
        <v>34</v>
      </c>
      <c r="K21" s="15" t="s">
        <v>26</v>
      </c>
    </row>
    <row r="22" spans="1:11" ht="15.75" thickBot="1" x14ac:dyDescent="0.3">
      <c r="A22" s="13" t="s">
        <v>56</v>
      </c>
      <c r="B22" s="2">
        <v>63</v>
      </c>
      <c r="C22" s="1">
        <f t="shared" si="3"/>
        <v>37</v>
      </c>
      <c r="D22" s="2">
        <v>21</v>
      </c>
      <c r="E22" s="2">
        <v>34</v>
      </c>
      <c r="F22" s="2">
        <v>29</v>
      </c>
      <c r="G22" s="1">
        <f t="shared" si="8"/>
        <v>16</v>
      </c>
      <c r="H22" s="5" t="s">
        <v>57</v>
      </c>
      <c r="I22" s="2">
        <v>54</v>
      </c>
      <c r="J22" s="2">
        <f>100-I22</f>
        <v>46</v>
      </c>
      <c r="K22" s="6" t="s">
        <v>58</v>
      </c>
    </row>
    <row r="23" spans="1:11" ht="15.75" thickBot="1" x14ac:dyDescent="0.3">
      <c r="A23" s="12" t="s">
        <v>59</v>
      </c>
      <c r="B23" s="2">
        <v>67</v>
      </c>
      <c r="C23" s="1">
        <f t="shared" si="3"/>
        <v>33</v>
      </c>
      <c r="D23" s="2">
        <v>6</v>
      </c>
      <c r="E23" s="2">
        <v>23</v>
      </c>
      <c r="F23" s="2">
        <v>42</v>
      </c>
      <c r="G23" s="11">
        <f t="shared" si="8"/>
        <v>29</v>
      </c>
      <c r="H23" s="11" t="s">
        <v>60</v>
      </c>
      <c r="I23" s="2">
        <v>50</v>
      </c>
      <c r="J23" s="1">
        <f t="shared" ref="J23:J24" si="9">100-I23</f>
        <v>50</v>
      </c>
      <c r="K23" s="15" t="s">
        <v>35</v>
      </c>
    </row>
    <row r="24" spans="1:11" ht="15.75" thickBot="1" x14ac:dyDescent="0.3">
      <c r="A24" s="7" t="s">
        <v>61</v>
      </c>
      <c r="B24" s="2">
        <v>52</v>
      </c>
      <c r="C24" s="1">
        <f t="shared" si="3"/>
        <v>48</v>
      </c>
      <c r="D24" s="2">
        <v>3</v>
      </c>
      <c r="E24" s="2">
        <v>14</v>
      </c>
      <c r="F24" s="2">
        <v>61</v>
      </c>
      <c r="G24" s="2">
        <v>22</v>
      </c>
      <c r="H24" s="5" t="s">
        <v>62</v>
      </c>
      <c r="I24" s="2">
        <v>81</v>
      </c>
      <c r="J24" s="1">
        <f t="shared" si="9"/>
        <v>19</v>
      </c>
      <c r="K24" s="6" t="s">
        <v>16</v>
      </c>
    </row>
    <row r="25" spans="1:11" ht="15.75" thickBot="1" x14ac:dyDescent="0.3">
      <c r="A25" s="4" t="s">
        <v>63</v>
      </c>
      <c r="B25" s="2">
        <v>52</v>
      </c>
      <c r="C25" s="1">
        <f t="shared" si="3"/>
        <v>48</v>
      </c>
      <c r="D25" s="2">
        <v>14</v>
      </c>
      <c r="E25" s="2">
        <v>29</v>
      </c>
      <c r="F25" s="2">
        <v>34</v>
      </c>
      <c r="G25" s="11">
        <f t="shared" ref="G25:G29" si="10">100-D25-E25-F25</f>
        <v>23</v>
      </c>
      <c r="H25" s="10" t="s">
        <v>64</v>
      </c>
      <c r="I25" s="2">
        <v>87</v>
      </c>
      <c r="J25" s="2">
        <v>13</v>
      </c>
      <c r="K25" s="6" t="s">
        <v>22</v>
      </c>
    </row>
    <row r="26" spans="1:11" ht="15.75" thickBot="1" x14ac:dyDescent="0.3">
      <c r="A26" s="12" t="s">
        <v>65</v>
      </c>
      <c r="B26" s="2">
        <v>62</v>
      </c>
      <c r="C26" s="1">
        <f t="shared" si="3"/>
        <v>38</v>
      </c>
      <c r="D26" s="2">
        <v>7</v>
      </c>
      <c r="E26" s="2">
        <v>27</v>
      </c>
      <c r="F26" s="2">
        <v>45</v>
      </c>
      <c r="G26" s="11">
        <f t="shared" si="10"/>
        <v>21</v>
      </c>
      <c r="H26" s="11" t="s">
        <v>66</v>
      </c>
      <c r="I26" s="2">
        <v>72</v>
      </c>
      <c r="J26" s="1">
        <f t="shared" ref="J26:J27" si="11">100-I26</f>
        <v>28</v>
      </c>
      <c r="K26" s="15" t="s">
        <v>22</v>
      </c>
    </row>
    <row r="27" spans="1:11" ht="15.75" thickBot="1" x14ac:dyDescent="0.3">
      <c r="A27" s="7" t="s">
        <v>67</v>
      </c>
      <c r="B27" s="2">
        <v>62</v>
      </c>
      <c r="C27" s="1">
        <f t="shared" si="3"/>
        <v>38</v>
      </c>
      <c r="D27" s="2">
        <v>4</v>
      </c>
      <c r="E27" s="2">
        <v>21</v>
      </c>
      <c r="F27" s="2">
        <v>45</v>
      </c>
      <c r="G27" s="11">
        <f t="shared" si="10"/>
        <v>30</v>
      </c>
      <c r="H27" s="5" t="s">
        <v>68</v>
      </c>
      <c r="I27" s="2">
        <v>78</v>
      </c>
      <c r="J27" s="1">
        <f t="shared" si="11"/>
        <v>22</v>
      </c>
      <c r="K27" s="6" t="s">
        <v>35</v>
      </c>
    </row>
    <row r="28" spans="1:11" ht="15.75" thickBot="1" x14ac:dyDescent="0.3">
      <c r="A28" s="4" t="s">
        <v>69</v>
      </c>
      <c r="B28" s="2">
        <v>68</v>
      </c>
      <c r="C28" s="1">
        <f t="shared" si="3"/>
        <v>32</v>
      </c>
      <c r="D28" s="2">
        <v>4</v>
      </c>
      <c r="E28" s="2">
        <v>17</v>
      </c>
      <c r="F28" s="2">
        <v>35</v>
      </c>
      <c r="G28" s="11">
        <f t="shared" si="10"/>
        <v>44</v>
      </c>
      <c r="H28" s="5" t="s">
        <v>70</v>
      </c>
      <c r="I28" s="2">
        <v>84</v>
      </c>
      <c r="J28" s="2">
        <v>16</v>
      </c>
      <c r="K28" s="6" t="s">
        <v>35</v>
      </c>
    </row>
    <row r="29" spans="1:11" ht="15.75" thickBot="1" x14ac:dyDescent="0.3">
      <c r="A29" s="7" t="s">
        <v>71</v>
      </c>
      <c r="B29" s="2">
        <v>67</v>
      </c>
      <c r="C29" s="1">
        <f t="shared" si="3"/>
        <v>33</v>
      </c>
      <c r="D29" s="2">
        <v>11</v>
      </c>
      <c r="E29" s="2">
        <v>28</v>
      </c>
      <c r="F29" s="2">
        <v>40</v>
      </c>
      <c r="G29" s="11">
        <f t="shared" si="10"/>
        <v>21</v>
      </c>
      <c r="H29" s="5" t="s">
        <v>72</v>
      </c>
      <c r="I29" s="2">
        <v>53</v>
      </c>
      <c r="J29" s="1">
        <f>100-I29</f>
        <v>47</v>
      </c>
      <c r="K29" s="6" t="s">
        <v>73</v>
      </c>
    </row>
    <row r="30" spans="1:11" ht="15.75" thickBot="1" x14ac:dyDescent="0.3">
      <c r="A30" s="8" t="s">
        <v>74</v>
      </c>
      <c r="B30" s="2">
        <v>57</v>
      </c>
      <c r="C30" s="1">
        <f t="shared" si="3"/>
        <v>43</v>
      </c>
      <c r="D30" s="2">
        <v>10</v>
      </c>
      <c r="E30" s="2">
        <v>26</v>
      </c>
      <c r="F30" s="2">
        <v>32</v>
      </c>
      <c r="G30" s="1">
        <f>100-D30-E30-F30</f>
        <v>32</v>
      </c>
      <c r="H30" s="5" t="s">
        <v>75</v>
      </c>
      <c r="I30" s="2">
        <v>73</v>
      </c>
      <c r="J30" s="2">
        <v>27</v>
      </c>
      <c r="K30" s="6" t="s">
        <v>26</v>
      </c>
    </row>
    <row r="31" spans="1:11" ht="15.75" thickBot="1" x14ac:dyDescent="0.3">
      <c r="A31" s="4" t="s">
        <v>76</v>
      </c>
      <c r="B31" s="2">
        <v>67</v>
      </c>
      <c r="C31" s="1">
        <f>100-B31</f>
        <v>33</v>
      </c>
      <c r="D31" s="2">
        <v>7</v>
      </c>
      <c r="E31" s="2">
        <v>24</v>
      </c>
      <c r="F31" s="2">
        <v>38</v>
      </c>
      <c r="G31" s="1">
        <f t="shared" ref="G31:G33" si="12">100-D31-E31-F31</f>
        <v>31</v>
      </c>
      <c r="H31" s="5" t="s">
        <v>77</v>
      </c>
      <c r="I31" s="2">
        <v>76</v>
      </c>
      <c r="J31" s="2">
        <v>24</v>
      </c>
      <c r="K31" s="6" t="s">
        <v>22</v>
      </c>
    </row>
    <row r="32" spans="1:11" ht="15.75" thickBot="1" x14ac:dyDescent="0.3">
      <c r="A32" s="12" t="s">
        <v>78</v>
      </c>
      <c r="B32" s="2">
        <v>73</v>
      </c>
      <c r="C32" s="1">
        <f t="shared" ref="C32:C59" si="13">100-B32</f>
        <v>27</v>
      </c>
      <c r="D32" s="2">
        <v>14</v>
      </c>
      <c r="E32" s="2">
        <v>34</v>
      </c>
      <c r="F32" s="2">
        <v>35</v>
      </c>
      <c r="G32" s="11">
        <f t="shared" si="12"/>
        <v>17</v>
      </c>
      <c r="H32" s="11" t="s">
        <v>79</v>
      </c>
      <c r="I32" s="2">
        <v>47</v>
      </c>
      <c r="J32" s="1">
        <f t="shared" ref="J32:J36" si="14">100-I32</f>
        <v>53</v>
      </c>
      <c r="K32" s="15" t="s">
        <v>35</v>
      </c>
    </row>
    <row r="33" spans="1:11" ht="30" thickBot="1" x14ac:dyDescent="0.3">
      <c r="A33" s="7" t="s">
        <v>80</v>
      </c>
      <c r="B33" s="2">
        <v>43</v>
      </c>
      <c r="C33" s="1">
        <f t="shared" si="13"/>
        <v>57</v>
      </c>
      <c r="D33" s="2">
        <v>4</v>
      </c>
      <c r="E33" s="2">
        <v>18</v>
      </c>
      <c r="F33" s="2">
        <v>36</v>
      </c>
      <c r="G33" s="1">
        <f t="shared" si="12"/>
        <v>42</v>
      </c>
      <c r="H33" s="5" t="s">
        <v>81</v>
      </c>
      <c r="I33" s="2">
        <v>73</v>
      </c>
      <c r="J33" s="1">
        <f t="shared" si="14"/>
        <v>27</v>
      </c>
      <c r="K33" s="6" t="s">
        <v>35</v>
      </c>
    </row>
    <row r="34" spans="1:11" ht="15.75" thickBot="1" x14ac:dyDescent="0.3">
      <c r="A34" s="12" t="s">
        <v>82</v>
      </c>
      <c r="B34" s="2">
        <v>73</v>
      </c>
      <c r="C34" s="1">
        <f t="shared" si="13"/>
        <v>27</v>
      </c>
      <c r="D34" s="2">
        <v>4</v>
      </c>
      <c r="E34" s="2">
        <v>25</v>
      </c>
      <c r="F34" s="2">
        <v>45</v>
      </c>
      <c r="G34" s="1">
        <f>100-D34-E34-F34</f>
        <v>26</v>
      </c>
      <c r="H34" s="11" t="s">
        <v>83</v>
      </c>
      <c r="I34" s="2">
        <v>66</v>
      </c>
      <c r="J34" s="1">
        <f t="shared" si="14"/>
        <v>34</v>
      </c>
      <c r="K34" s="15" t="s">
        <v>26</v>
      </c>
    </row>
    <row r="35" spans="1:11" ht="15.75" thickBot="1" x14ac:dyDescent="0.3">
      <c r="A35" s="7" t="s">
        <v>84</v>
      </c>
      <c r="B35" s="2">
        <v>68</v>
      </c>
      <c r="C35" s="1">
        <f t="shared" si="13"/>
        <v>32</v>
      </c>
      <c r="D35" s="2">
        <v>5</v>
      </c>
      <c r="E35" s="2">
        <v>25</v>
      </c>
      <c r="F35" s="2">
        <v>43</v>
      </c>
      <c r="G35" s="11">
        <f t="shared" ref="G35:G41" si="15">100-D35-E35-F35</f>
        <v>27</v>
      </c>
      <c r="H35" s="5" t="s">
        <v>85</v>
      </c>
      <c r="I35" s="2">
        <v>71</v>
      </c>
      <c r="J35" s="1">
        <f t="shared" si="14"/>
        <v>29</v>
      </c>
      <c r="K35" s="6" t="s">
        <v>35</v>
      </c>
    </row>
    <row r="36" spans="1:11" ht="29.25" x14ac:dyDescent="0.25">
      <c r="A36" s="7" t="s">
        <v>86</v>
      </c>
      <c r="B36" s="2">
        <v>62</v>
      </c>
      <c r="C36" s="1">
        <f t="shared" si="13"/>
        <v>38</v>
      </c>
      <c r="D36" s="2">
        <v>3</v>
      </c>
      <c r="E36" s="2">
        <v>18</v>
      </c>
      <c r="F36" s="2">
        <v>44</v>
      </c>
      <c r="G36" s="2">
        <f t="shared" si="15"/>
        <v>35</v>
      </c>
      <c r="H36" s="5" t="s">
        <v>87</v>
      </c>
      <c r="I36" s="2">
        <v>81</v>
      </c>
      <c r="J36" s="1">
        <f t="shared" si="14"/>
        <v>19</v>
      </c>
      <c r="K36" s="14" t="s">
        <v>35</v>
      </c>
    </row>
    <row r="37" spans="1:11" x14ac:dyDescent="0.25">
      <c r="A37" s="4" t="s">
        <v>88</v>
      </c>
      <c r="B37" s="2">
        <v>64</v>
      </c>
      <c r="C37" s="1">
        <f t="shared" si="13"/>
        <v>36</v>
      </c>
      <c r="D37" s="2">
        <v>1</v>
      </c>
      <c r="E37" s="2">
        <v>12</v>
      </c>
      <c r="F37" s="2">
        <v>36</v>
      </c>
      <c r="G37" s="1">
        <f t="shared" si="15"/>
        <v>51</v>
      </c>
      <c r="H37" s="5" t="s">
        <v>89</v>
      </c>
      <c r="I37" s="2">
        <v>87</v>
      </c>
      <c r="J37" s="2">
        <v>13</v>
      </c>
      <c r="K37" s="14" t="s">
        <v>13</v>
      </c>
    </row>
    <row r="38" spans="1:11" x14ac:dyDescent="0.25">
      <c r="A38" s="4" t="s">
        <v>90</v>
      </c>
      <c r="B38" s="2">
        <v>63</v>
      </c>
      <c r="C38" s="1">
        <f t="shared" si="13"/>
        <v>37</v>
      </c>
      <c r="D38" s="2">
        <v>3</v>
      </c>
      <c r="E38" s="2">
        <v>18</v>
      </c>
      <c r="F38" s="2">
        <v>41</v>
      </c>
      <c r="G38" s="1">
        <f t="shared" si="15"/>
        <v>38</v>
      </c>
      <c r="H38" s="5" t="s">
        <v>91</v>
      </c>
      <c r="I38" s="2">
        <v>79</v>
      </c>
      <c r="J38" s="2">
        <v>21</v>
      </c>
      <c r="K38" s="14" t="s">
        <v>26</v>
      </c>
    </row>
    <row r="39" spans="1:11" x14ac:dyDescent="0.25">
      <c r="A39" s="4" t="s">
        <v>92</v>
      </c>
      <c r="B39" s="2">
        <v>67</v>
      </c>
      <c r="C39" s="1">
        <f t="shared" si="13"/>
        <v>33</v>
      </c>
      <c r="D39" s="2">
        <v>3</v>
      </c>
      <c r="E39" s="2">
        <v>18</v>
      </c>
      <c r="F39" s="2">
        <v>39</v>
      </c>
      <c r="G39" s="1">
        <f t="shared" si="15"/>
        <v>40</v>
      </c>
      <c r="H39" s="5" t="s">
        <v>93</v>
      </c>
      <c r="I39" s="2">
        <v>88</v>
      </c>
      <c r="J39" s="2">
        <v>12</v>
      </c>
      <c r="K39" s="14" t="s">
        <v>16</v>
      </c>
    </row>
    <row r="40" spans="1:11" x14ac:dyDescent="0.25">
      <c r="A40" s="4" t="s">
        <v>94</v>
      </c>
      <c r="B40" s="2">
        <v>61</v>
      </c>
      <c r="C40" s="1">
        <f t="shared" si="13"/>
        <v>39</v>
      </c>
      <c r="D40" s="2">
        <v>5</v>
      </c>
      <c r="E40" s="2">
        <v>22</v>
      </c>
      <c r="F40" s="2">
        <v>43</v>
      </c>
      <c r="G40" s="1">
        <f t="shared" si="15"/>
        <v>30</v>
      </c>
      <c r="H40" s="5" t="s">
        <v>95</v>
      </c>
      <c r="I40" s="2">
        <v>65</v>
      </c>
      <c r="J40" s="1">
        <f t="shared" ref="J40:J42" si="16">100-I40</f>
        <v>35</v>
      </c>
      <c r="K40" s="14" t="s">
        <v>58</v>
      </c>
    </row>
    <row r="41" spans="1:11" x14ac:dyDescent="0.25">
      <c r="A41" s="12" t="s">
        <v>96</v>
      </c>
      <c r="B41" s="2">
        <v>60</v>
      </c>
      <c r="C41" s="1">
        <f t="shared" si="13"/>
        <v>40</v>
      </c>
      <c r="D41" s="2">
        <v>21</v>
      </c>
      <c r="E41" s="2">
        <v>41</v>
      </c>
      <c r="F41" s="2">
        <v>27</v>
      </c>
      <c r="G41" s="1">
        <f t="shared" si="15"/>
        <v>11</v>
      </c>
      <c r="H41" s="11" t="s">
        <v>97</v>
      </c>
      <c r="I41" s="2">
        <v>72</v>
      </c>
      <c r="J41" s="1">
        <f t="shared" si="16"/>
        <v>28</v>
      </c>
      <c r="K41" s="13" t="s">
        <v>35</v>
      </c>
    </row>
    <row r="42" spans="1:11" x14ac:dyDescent="0.25">
      <c r="A42" s="7" t="s">
        <v>98</v>
      </c>
      <c r="B42" s="2">
        <v>70</v>
      </c>
      <c r="C42" s="1">
        <f t="shared" si="13"/>
        <v>30</v>
      </c>
      <c r="D42" s="2">
        <v>7</v>
      </c>
      <c r="E42" s="2">
        <v>33</v>
      </c>
      <c r="F42" s="2">
        <v>39</v>
      </c>
      <c r="G42" s="11">
        <f>100-D42-E42-F42</f>
        <v>21</v>
      </c>
      <c r="H42" s="5" t="s">
        <v>99</v>
      </c>
      <c r="I42" s="2">
        <v>61</v>
      </c>
      <c r="J42" s="1">
        <f t="shared" si="16"/>
        <v>39</v>
      </c>
      <c r="K42" s="14" t="s">
        <v>35</v>
      </c>
    </row>
    <row r="43" spans="1:11" ht="15.75" thickBot="1" x14ac:dyDescent="0.3">
      <c r="A43" s="4" t="s">
        <v>100</v>
      </c>
      <c r="B43" s="2">
        <v>60</v>
      </c>
      <c r="C43" s="1">
        <f t="shared" si="13"/>
        <v>40</v>
      </c>
      <c r="D43" s="2">
        <v>4</v>
      </c>
      <c r="E43" s="2">
        <v>21</v>
      </c>
      <c r="F43" s="2">
        <v>36</v>
      </c>
      <c r="G43" s="1">
        <f>100-D43-E43-F43</f>
        <v>39</v>
      </c>
      <c r="H43" s="5" t="s">
        <v>101</v>
      </c>
      <c r="I43" s="2">
        <v>95</v>
      </c>
      <c r="J43" s="2">
        <v>5</v>
      </c>
      <c r="K43" s="14" t="s">
        <v>22</v>
      </c>
    </row>
    <row r="44" spans="1:11" ht="15.75" thickBot="1" x14ac:dyDescent="0.3">
      <c r="A44" s="4" t="s">
        <v>102</v>
      </c>
      <c r="B44" s="2">
        <v>50</v>
      </c>
      <c r="C44" s="1">
        <f t="shared" si="13"/>
        <v>50</v>
      </c>
      <c r="D44" s="2">
        <v>8</v>
      </c>
      <c r="E44" s="2">
        <v>24</v>
      </c>
      <c r="F44" s="2">
        <v>47</v>
      </c>
      <c r="G44" s="1">
        <f t="shared" ref="G44:G46" si="17">100-D44-E44-F44</f>
        <v>21</v>
      </c>
      <c r="H44" s="5" t="s">
        <v>103</v>
      </c>
      <c r="I44" s="2">
        <v>78</v>
      </c>
      <c r="J44" s="1">
        <f>100-I44</f>
        <v>22</v>
      </c>
      <c r="K44" s="6" t="s">
        <v>22</v>
      </c>
    </row>
    <row r="45" spans="1:11" ht="15.75" thickBot="1" x14ac:dyDescent="0.3">
      <c r="A45" s="4" t="s">
        <v>104</v>
      </c>
      <c r="B45" s="2">
        <v>60</v>
      </c>
      <c r="C45" s="1">
        <f t="shared" si="13"/>
        <v>40</v>
      </c>
      <c r="D45" s="2">
        <v>14</v>
      </c>
      <c r="E45" s="2">
        <v>33</v>
      </c>
      <c r="F45" s="2">
        <v>29</v>
      </c>
      <c r="G45" s="1">
        <f t="shared" si="17"/>
        <v>24</v>
      </c>
      <c r="H45" s="5" t="s">
        <v>105</v>
      </c>
      <c r="I45" s="2">
        <v>63</v>
      </c>
      <c r="J45" s="2">
        <v>37</v>
      </c>
      <c r="K45" s="6" t="s">
        <v>35</v>
      </c>
    </row>
    <row r="46" spans="1:11" ht="15.75" thickBot="1" x14ac:dyDescent="0.3">
      <c r="A46" s="8" t="s">
        <v>106</v>
      </c>
      <c r="B46" s="2">
        <v>60</v>
      </c>
      <c r="C46" s="1">
        <f t="shared" si="13"/>
        <v>40</v>
      </c>
      <c r="D46" s="2">
        <v>12</v>
      </c>
      <c r="E46" s="2">
        <v>30</v>
      </c>
      <c r="F46" s="2">
        <v>35</v>
      </c>
      <c r="G46" s="11">
        <f t="shared" si="17"/>
        <v>23</v>
      </c>
      <c r="H46" s="5" t="s">
        <v>107</v>
      </c>
      <c r="I46" s="2">
        <v>65</v>
      </c>
      <c r="J46" s="1">
        <f t="shared" ref="J46:J49" si="18">100-I46</f>
        <v>35</v>
      </c>
      <c r="K46" s="6" t="s">
        <v>22</v>
      </c>
    </row>
    <row r="47" spans="1:11" ht="15.75" thickBot="1" x14ac:dyDescent="0.3">
      <c r="A47" s="12" t="s">
        <v>108</v>
      </c>
      <c r="B47" s="2">
        <v>59</v>
      </c>
      <c r="C47" s="1">
        <f t="shared" si="13"/>
        <v>41</v>
      </c>
      <c r="D47" s="2">
        <v>23</v>
      </c>
      <c r="E47" s="2">
        <v>36</v>
      </c>
      <c r="F47" s="2">
        <v>26</v>
      </c>
      <c r="G47" s="1">
        <f>100-D47-E47-F47</f>
        <v>15</v>
      </c>
      <c r="H47" s="11" t="s">
        <v>109</v>
      </c>
      <c r="I47" s="2">
        <v>45</v>
      </c>
      <c r="J47" s="1">
        <f t="shared" si="18"/>
        <v>55</v>
      </c>
      <c r="K47" s="15" t="s">
        <v>58</v>
      </c>
    </row>
    <row r="48" spans="1:11" ht="15.75" thickBot="1" x14ac:dyDescent="0.3">
      <c r="A48" s="7" t="s">
        <v>110</v>
      </c>
      <c r="B48" s="2">
        <v>64</v>
      </c>
      <c r="C48" s="1">
        <f t="shared" si="13"/>
        <v>36</v>
      </c>
      <c r="D48" s="2">
        <v>4</v>
      </c>
      <c r="E48" s="2">
        <v>20</v>
      </c>
      <c r="F48" s="2">
        <v>45</v>
      </c>
      <c r="G48" s="11">
        <f>100-D48-E48-F48</f>
        <v>31</v>
      </c>
      <c r="H48" s="5" t="s">
        <v>111</v>
      </c>
      <c r="I48" s="2">
        <v>69</v>
      </c>
      <c r="J48" s="1">
        <f t="shared" si="18"/>
        <v>31</v>
      </c>
      <c r="K48" s="6" t="s">
        <v>19</v>
      </c>
    </row>
    <row r="49" spans="1:11" ht="15.75" thickBot="1" x14ac:dyDescent="0.3">
      <c r="A49" s="4" t="s">
        <v>112</v>
      </c>
      <c r="B49" s="2">
        <v>58</v>
      </c>
      <c r="C49" s="1">
        <f t="shared" si="13"/>
        <v>42</v>
      </c>
      <c r="D49" s="2">
        <v>7</v>
      </c>
      <c r="E49" s="2">
        <v>23</v>
      </c>
      <c r="F49" s="2">
        <v>41</v>
      </c>
      <c r="G49" s="1">
        <f t="shared" ref="G49:G51" si="19">100-D49-E49-F49</f>
        <v>29</v>
      </c>
      <c r="H49" s="5" t="s">
        <v>113</v>
      </c>
      <c r="I49" s="2">
        <v>67</v>
      </c>
      <c r="J49" s="1">
        <f t="shared" si="18"/>
        <v>33</v>
      </c>
      <c r="K49" s="6" t="s">
        <v>58</v>
      </c>
    </row>
    <row r="50" spans="1:11" ht="15.75" thickBot="1" x14ac:dyDescent="0.3">
      <c r="A50" s="4" t="s">
        <v>114</v>
      </c>
      <c r="B50" s="2">
        <v>40</v>
      </c>
      <c r="C50" s="1">
        <f t="shared" si="13"/>
        <v>60</v>
      </c>
      <c r="D50" s="2">
        <v>9</v>
      </c>
      <c r="E50" s="2">
        <v>22</v>
      </c>
      <c r="F50" s="2">
        <v>51</v>
      </c>
      <c r="G50" s="1">
        <f t="shared" si="19"/>
        <v>18</v>
      </c>
      <c r="H50" s="10" t="s">
        <v>115</v>
      </c>
      <c r="I50" s="2">
        <v>94</v>
      </c>
      <c r="J50" s="2">
        <v>6</v>
      </c>
      <c r="K50" s="6" t="s">
        <v>22</v>
      </c>
    </row>
    <row r="51" spans="1:11" ht="15.75" thickBot="1" x14ac:dyDescent="0.3">
      <c r="A51" s="8" t="s">
        <v>116</v>
      </c>
      <c r="B51" s="2">
        <v>42</v>
      </c>
      <c r="C51" s="1">
        <f t="shared" si="13"/>
        <v>58</v>
      </c>
      <c r="D51" s="2">
        <v>18</v>
      </c>
      <c r="E51" s="2">
        <v>29</v>
      </c>
      <c r="F51" s="2">
        <v>44</v>
      </c>
      <c r="G51" s="1">
        <f t="shared" si="19"/>
        <v>9</v>
      </c>
      <c r="H51" s="5" t="s">
        <v>117</v>
      </c>
      <c r="I51" s="2">
        <v>66</v>
      </c>
      <c r="J51" s="1">
        <f t="shared" ref="J51:J53" si="20">100-I51</f>
        <v>34</v>
      </c>
      <c r="K51" s="6" t="s">
        <v>22</v>
      </c>
    </row>
    <row r="52" spans="1:11" ht="15.75" thickBot="1" x14ac:dyDescent="0.3">
      <c r="A52" s="8" t="s">
        <v>118</v>
      </c>
      <c r="B52" s="2">
        <v>36</v>
      </c>
      <c r="C52" s="1">
        <f t="shared" si="13"/>
        <v>64</v>
      </c>
      <c r="D52" s="2">
        <v>5</v>
      </c>
      <c r="E52" s="2">
        <v>15</v>
      </c>
      <c r="F52" s="2">
        <v>73</v>
      </c>
      <c r="G52" s="11">
        <f>100-D52-E52-F52</f>
        <v>7</v>
      </c>
      <c r="H52" s="5" t="s">
        <v>119</v>
      </c>
      <c r="I52" s="2">
        <v>82</v>
      </c>
      <c r="J52" s="1">
        <f t="shared" si="20"/>
        <v>18</v>
      </c>
      <c r="K52" s="6" t="s">
        <v>13</v>
      </c>
    </row>
    <row r="53" spans="1:11" ht="15.75" thickBot="1" x14ac:dyDescent="0.3">
      <c r="A53" s="4" t="s">
        <v>120</v>
      </c>
      <c r="B53" s="2">
        <v>51</v>
      </c>
      <c r="C53" s="1">
        <f t="shared" si="13"/>
        <v>49</v>
      </c>
      <c r="D53" s="2">
        <v>2</v>
      </c>
      <c r="E53" s="2">
        <v>12</v>
      </c>
      <c r="F53" s="2">
        <v>48</v>
      </c>
      <c r="G53" s="1">
        <f>100-D53-E53-F53</f>
        <v>38</v>
      </c>
      <c r="H53" s="10" t="s">
        <v>121</v>
      </c>
      <c r="I53" s="2">
        <v>93</v>
      </c>
      <c r="J53" s="1">
        <f t="shared" si="20"/>
        <v>7</v>
      </c>
      <c r="K53" s="6" t="s">
        <v>22</v>
      </c>
    </row>
    <row r="54" spans="1:11" ht="15.75" thickBot="1" x14ac:dyDescent="0.3">
      <c r="A54" s="4" t="s">
        <v>122</v>
      </c>
      <c r="B54" s="2">
        <v>45</v>
      </c>
      <c r="C54" s="1">
        <f t="shared" si="13"/>
        <v>55</v>
      </c>
      <c r="D54" s="2">
        <v>7</v>
      </c>
      <c r="E54" s="2">
        <v>23</v>
      </c>
      <c r="F54" s="2">
        <v>45</v>
      </c>
      <c r="G54" s="1">
        <f t="shared" ref="G54:G58" si="21">100-D54-E54-F54</f>
        <v>25</v>
      </c>
      <c r="H54" s="10" t="s">
        <v>123</v>
      </c>
      <c r="I54" s="2">
        <v>94</v>
      </c>
      <c r="J54" s="2">
        <v>6</v>
      </c>
      <c r="K54" s="6" t="s">
        <v>16</v>
      </c>
    </row>
    <row r="55" spans="1:11" ht="15.75" thickBot="1" x14ac:dyDescent="0.3">
      <c r="A55" s="7" t="s">
        <v>124</v>
      </c>
      <c r="B55" s="2">
        <v>49</v>
      </c>
      <c r="C55" s="1">
        <f t="shared" si="13"/>
        <v>51</v>
      </c>
      <c r="D55" s="2">
        <v>13</v>
      </c>
      <c r="E55" s="2">
        <v>24</v>
      </c>
      <c r="F55" s="2">
        <v>41</v>
      </c>
      <c r="G55" s="11">
        <f t="shared" si="21"/>
        <v>22</v>
      </c>
      <c r="H55" s="5" t="s">
        <v>125</v>
      </c>
      <c r="I55" s="2">
        <v>73</v>
      </c>
      <c r="J55" s="1">
        <f t="shared" ref="J55:J57" si="22">100-I55</f>
        <v>27</v>
      </c>
      <c r="K55" s="6" t="s">
        <v>16</v>
      </c>
    </row>
    <row r="56" spans="1:11" ht="15.75" thickBot="1" x14ac:dyDescent="0.3">
      <c r="A56" s="8" t="s">
        <v>126</v>
      </c>
      <c r="B56" s="2">
        <v>67</v>
      </c>
      <c r="C56" s="1">
        <f t="shared" si="13"/>
        <v>33</v>
      </c>
      <c r="D56" s="2">
        <v>7</v>
      </c>
      <c r="E56" s="2">
        <v>19</v>
      </c>
      <c r="F56" s="2">
        <v>42</v>
      </c>
      <c r="G56" s="11">
        <f t="shared" si="21"/>
        <v>32</v>
      </c>
      <c r="H56" s="5" t="s">
        <v>127</v>
      </c>
      <c r="I56" s="2">
        <v>60</v>
      </c>
      <c r="J56" s="1">
        <f t="shared" si="22"/>
        <v>40</v>
      </c>
      <c r="K56" s="6" t="s">
        <v>26</v>
      </c>
    </row>
    <row r="57" spans="1:11" ht="15.75" thickBot="1" x14ac:dyDescent="0.3">
      <c r="A57" s="8" t="s">
        <v>128</v>
      </c>
      <c r="B57" s="2">
        <v>58</v>
      </c>
      <c r="C57" s="1">
        <f t="shared" si="13"/>
        <v>42</v>
      </c>
      <c r="D57" s="2">
        <v>8</v>
      </c>
      <c r="E57" s="2">
        <v>31</v>
      </c>
      <c r="F57" s="2">
        <v>46</v>
      </c>
      <c r="G57" s="1">
        <f t="shared" si="21"/>
        <v>15</v>
      </c>
      <c r="H57" s="5" t="s">
        <v>129</v>
      </c>
      <c r="I57" s="2">
        <v>75</v>
      </c>
      <c r="J57" s="1">
        <f t="shared" si="22"/>
        <v>25</v>
      </c>
      <c r="K57" s="6" t="s">
        <v>35</v>
      </c>
    </row>
    <row r="58" spans="1:11" ht="15.75" thickBot="1" x14ac:dyDescent="0.3">
      <c r="A58" s="4" t="s">
        <v>130</v>
      </c>
      <c r="B58" s="2">
        <v>60</v>
      </c>
      <c r="C58" s="1">
        <f t="shared" si="13"/>
        <v>40</v>
      </c>
      <c r="D58" s="2">
        <v>5</v>
      </c>
      <c r="E58" s="2">
        <v>23</v>
      </c>
      <c r="F58" s="2">
        <v>49</v>
      </c>
      <c r="G58" s="1">
        <f t="shared" si="21"/>
        <v>23</v>
      </c>
      <c r="H58" s="5" t="s">
        <v>131</v>
      </c>
      <c r="I58" s="2">
        <v>71</v>
      </c>
      <c r="J58" s="2">
        <v>29</v>
      </c>
      <c r="K58" s="6" t="s">
        <v>22</v>
      </c>
    </row>
    <row r="59" spans="1:11" ht="30" thickBot="1" x14ac:dyDescent="0.3">
      <c r="A59" s="7" t="s">
        <v>132</v>
      </c>
      <c r="B59" s="2">
        <v>50</v>
      </c>
      <c r="C59" s="1">
        <f t="shared" si="13"/>
        <v>50</v>
      </c>
      <c r="D59" s="2">
        <v>8</v>
      </c>
      <c r="E59" s="2">
        <v>24</v>
      </c>
      <c r="F59" s="2">
        <v>50</v>
      </c>
      <c r="G59" s="2">
        <v>18</v>
      </c>
      <c r="H59" s="5" t="s">
        <v>133</v>
      </c>
      <c r="I59" s="2">
        <v>75</v>
      </c>
      <c r="J59" s="1">
        <f>100-I59</f>
        <v>25</v>
      </c>
      <c r="K59" s="6" t="s">
        <v>35</v>
      </c>
    </row>
    <row r="60" spans="1:11" ht="15.75" thickBot="1" x14ac:dyDescent="0.3">
      <c r="A60" s="8" t="s">
        <v>134</v>
      </c>
      <c r="B60" s="1">
        <v>51</v>
      </c>
      <c r="C60" s="1">
        <v>49</v>
      </c>
      <c r="D60" s="1">
        <v>6</v>
      </c>
      <c r="E60" s="1">
        <v>23</v>
      </c>
      <c r="F60" s="1">
        <v>43</v>
      </c>
      <c r="G60" s="11">
        <f t="shared" ref="G60:G65" si="23">100-D60-E60-F60</f>
        <v>28</v>
      </c>
      <c r="H60" s="10" t="s">
        <v>135</v>
      </c>
      <c r="I60" s="1">
        <v>78</v>
      </c>
      <c r="J60" s="1">
        <v>22</v>
      </c>
      <c r="K60" s="6" t="s">
        <v>16</v>
      </c>
    </row>
    <row r="61" spans="1:11" ht="15.75" thickBot="1" x14ac:dyDescent="0.3">
      <c r="A61" s="8" t="s">
        <v>137</v>
      </c>
      <c r="B61" s="1">
        <v>52</v>
      </c>
      <c r="C61" s="1">
        <f t="shared" ref="C61:C62" si="24">100-B61</f>
        <v>48</v>
      </c>
      <c r="D61" s="1">
        <v>11</v>
      </c>
      <c r="E61" s="1">
        <v>29</v>
      </c>
      <c r="F61" s="1">
        <v>42</v>
      </c>
      <c r="G61" s="11">
        <f t="shared" si="23"/>
        <v>18</v>
      </c>
      <c r="H61" s="9" t="s">
        <v>138</v>
      </c>
      <c r="I61" s="1">
        <v>76</v>
      </c>
      <c r="J61" s="1">
        <f t="shared" ref="J61:J62" si="25">100-I61</f>
        <v>24</v>
      </c>
      <c r="K61" s="6" t="s">
        <v>22</v>
      </c>
    </row>
    <row r="62" spans="1:11" ht="15.75" thickBot="1" x14ac:dyDescent="0.3">
      <c r="A62" s="8" t="s">
        <v>139</v>
      </c>
      <c r="B62" s="1">
        <v>47</v>
      </c>
      <c r="C62" s="1">
        <f t="shared" si="24"/>
        <v>53</v>
      </c>
      <c r="D62" s="1">
        <v>9</v>
      </c>
      <c r="E62" s="1">
        <v>21</v>
      </c>
      <c r="F62" s="1">
        <v>45</v>
      </c>
      <c r="G62" s="11">
        <f t="shared" si="23"/>
        <v>25</v>
      </c>
      <c r="H62" s="9" t="s">
        <v>140</v>
      </c>
      <c r="I62" s="1">
        <v>72</v>
      </c>
      <c r="J62" s="1">
        <f t="shared" si="25"/>
        <v>28</v>
      </c>
      <c r="K62" s="6" t="s">
        <v>22</v>
      </c>
    </row>
    <row r="63" spans="1:11" ht="15.75" thickBot="1" x14ac:dyDescent="0.3">
      <c r="A63" s="8" t="s">
        <v>141</v>
      </c>
      <c r="B63" s="1">
        <v>57</v>
      </c>
      <c r="C63" s="1">
        <v>43</v>
      </c>
      <c r="D63" s="1">
        <v>2</v>
      </c>
      <c r="E63" s="1">
        <v>18</v>
      </c>
      <c r="F63" s="1">
        <v>37</v>
      </c>
      <c r="G63" s="11">
        <f t="shared" si="23"/>
        <v>43</v>
      </c>
      <c r="H63" s="1" t="s">
        <v>136</v>
      </c>
      <c r="I63" s="1">
        <v>88</v>
      </c>
      <c r="J63" s="1">
        <v>12</v>
      </c>
      <c r="K63" s="6" t="s">
        <v>35</v>
      </c>
    </row>
    <row r="64" spans="1:11" ht="15.75" thickBot="1" x14ac:dyDescent="0.3">
      <c r="A64" s="8" t="s">
        <v>142</v>
      </c>
      <c r="B64" s="1">
        <v>42</v>
      </c>
      <c r="C64" s="1">
        <v>58</v>
      </c>
      <c r="D64" s="1">
        <v>3</v>
      </c>
      <c r="E64" s="1">
        <v>15</v>
      </c>
      <c r="F64" s="1">
        <v>59</v>
      </c>
      <c r="G64" s="11">
        <f t="shared" si="23"/>
        <v>23</v>
      </c>
      <c r="H64" s="1" t="s">
        <v>143</v>
      </c>
      <c r="I64" s="1">
        <v>87</v>
      </c>
      <c r="J64" s="1">
        <v>13</v>
      </c>
      <c r="K64" s="6" t="s">
        <v>16</v>
      </c>
    </row>
    <row r="65" spans="1:11" ht="15.75" thickBot="1" x14ac:dyDescent="0.3">
      <c r="A65" s="4" t="s">
        <v>144</v>
      </c>
      <c r="B65" s="1">
        <v>63</v>
      </c>
      <c r="C65" s="1">
        <f t="shared" ref="C65:C70" si="26">100-B65</f>
        <v>37</v>
      </c>
      <c r="D65" s="1">
        <v>4</v>
      </c>
      <c r="E65" s="1">
        <v>22</v>
      </c>
      <c r="F65" s="1">
        <v>44</v>
      </c>
      <c r="G65" s="11">
        <f t="shared" si="23"/>
        <v>30</v>
      </c>
      <c r="H65" s="1" t="s">
        <v>145</v>
      </c>
      <c r="I65" s="1">
        <v>77</v>
      </c>
      <c r="J65" s="1">
        <f t="shared" ref="J65:J66" si="27">100-I65</f>
        <v>23</v>
      </c>
      <c r="K65" s="6" t="s">
        <v>16</v>
      </c>
    </row>
    <row r="66" spans="1:11" ht="15.75" thickBot="1" x14ac:dyDescent="0.3">
      <c r="A66" s="16" t="s">
        <v>159</v>
      </c>
      <c r="B66" s="1">
        <v>58</v>
      </c>
      <c r="C66" s="1">
        <f t="shared" si="26"/>
        <v>42</v>
      </c>
      <c r="D66" s="1">
        <v>6</v>
      </c>
      <c r="E66" s="1">
        <v>21</v>
      </c>
      <c r="F66" s="1">
        <v>43</v>
      </c>
      <c r="G66" s="1">
        <v>30</v>
      </c>
      <c r="H66" s="9" t="s">
        <v>146</v>
      </c>
      <c r="I66" s="2">
        <v>76</v>
      </c>
      <c r="J66" s="1">
        <f t="shared" si="27"/>
        <v>24</v>
      </c>
      <c r="K66" s="6" t="s">
        <v>16</v>
      </c>
    </row>
    <row r="67" spans="1:11" ht="15.75" thickBot="1" x14ac:dyDescent="0.3">
      <c r="A67" s="8" t="s">
        <v>147</v>
      </c>
      <c r="B67" s="1">
        <v>70</v>
      </c>
      <c r="C67" s="1">
        <f t="shared" si="26"/>
        <v>30</v>
      </c>
      <c r="D67" s="1">
        <v>8</v>
      </c>
      <c r="E67" s="1">
        <v>28</v>
      </c>
      <c r="F67" s="1">
        <v>45</v>
      </c>
      <c r="G67" s="1">
        <v>19</v>
      </c>
      <c r="H67" s="9" t="s">
        <v>148</v>
      </c>
      <c r="I67" s="2">
        <v>81</v>
      </c>
      <c r="J67" s="2">
        <v>19</v>
      </c>
      <c r="K67" s="6" t="s">
        <v>16</v>
      </c>
    </row>
    <row r="68" spans="1:11" ht="15.75" thickBot="1" x14ac:dyDescent="0.3">
      <c r="A68" s="8" t="s">
        <v>149</v>
      </c>
      <c r="B68" s="1">
        <v>61</v>
      </c>
      <c r="C68" s="1">
        <f t="shared" si="26"/>
        <v>39</v>
      </c>
      <c r="D68" s="1">
        <v>2</v>
      </c>
      <c r="E68" s="1">
        <v>14</v>
      </c>
      <c r="F68" s="1">
        <v>52</v>
      </c>
      <c r="G68" s="1">
        <f>100-D68-E68-F68</f>
        <v>32</v>
      </c>
      <c r="H68" s="9" t="s">
        <v>150</v>
      </c>
      <c r="I68" s="1">
        <v>78</v>
      </c>
      <c r="J68" s="1">
        <f t="shared" ref="J68:J70" si="28">100-I68</f>
        <v>22</v>
      </c>
      <c r="K68" s="6" t="s">
        <v>16</v>
      </c>
    </row>
    <row r="69" spans="1:11" ht="15.75" thickBot="1" x14ac:dyDescent="0.3">
      <c r="A69" s="7" t="s">
        <v>151</v>
      </c>
      <c r="B69" s="2">
        <v>66</v>
      </c>
      <c r="C69" s="1">
        <f t="shared" si="26"/>
        <v>34</v>
      </c>
      <c r="D69" s="2">
        <v>3</v>
      </c>
      <c r="E69" s="2">
        <v>18</v>
      </c>
      <c r="F69" s="2">
        <v>42</v>
      </c>
      <c r="G69" s="1">
        <f t="shared" ref="G69:G70" si="29">100-D69-E69-F69</f>
        <v>37</v>
      </c>
      <c r="H69" s="5" t="s">
        <v>152</v>
      </c>
      <c r="I69" s="2">
        <v>79</v>
      </c>
      <c r="J69" s="1">
        <f t="shared" si="28"/>
        <v>21</v>
      </c>
      <c r="K69" s="6" t="s">
        <v>22</v>
      </c>
    </row>
    <row r="70" spans="1:11" ht="15.75" thickBot="1" x14ac:dyDescent="0.3">
      <c r="A70" s="8" t="s">
        <v>153</v>
      </c>
      <c r="B70" s="2">
        <v>52</v>
      </c>
      <c r="C70" s="1">
        <f t="shared" si="26"/>
        <v>48</v>
      </c>
      <c r="D70" s="2">
        <v>11</v>
      </c>
      <c r="E70" s="2">
        <v>25</v>
      </c>
      <c r="F70" s="2">
        <v>40</v>
      </c>
      <c r="G70" s="11">
        <f t="shared" si="29"/>
        <v>24</v>
      </c>
      <c r="H70" s="5" t="s">
        <v>154</v>
      </c>
      <c r="I70" s="2">
        <v>64</v>
      </c>
      <c r="J70" s="1">
        <f t="shared" si="28"/>
        <v>36</v>
      </c>
      <c r="K70" s="6" t="s">
        <v>35</v>
      </c>
    </row>
    <row r="71" spans="1:11" ht="15.75" thickBot="1" x14ac:dyDescent="0.3">
      <c r="A71" s="8" t="s">
        <v>155</v>
      </c>
      <c r="B71" s="1">
        <v>49</v>
      </c>
      <c r="C71" s="1">
        <v>51</v>
      </c>
      <c r="D71" s="1">
        <v>7</v>
      </c>
      <c r="E71" s="1">
        <v>27</v>
      </c>
      <c r="F71" s="1">
        <v>40</v>
      </c>
      <c r="G71" s="1">
        <v>26</v>
      </c>
      <c r="H71" s="1" t="s">
        <v>156</v>
      </c>
      <c r="I71" s="1">
        <v>68</v>
      </c>
      <c r="J71" s="1">
        <v>32</v>
      </c>
      <c r="K71" s="6" t="s">
        <v>22</v>
      </c>
    </row>
    <row r="72" spans="1:11" ht="15.75" thickBot="1" x14ac:dyDescent="0.3">
      <c r="A72" s="8" t="s">
        <v>160</v>
      </c>
      <c r="B72" s="1">
        <v>36</v>
      </c>
      <c r="C72" s="1">
        <f t="shared" ref="C72:C73" si="30">100-B72</f>
        <v>64</v>
      </c>
      <c r="D72" s="1">
        <v>7</v>
      </c>
      <c r="E72" s="1">
        <v>23</v>
      </c>
      <c r="F72" s="1">
        <v>46</v>
      </c>
      <c r="G72" s="1">
        <v>24</v>
      </c>
      <c r="H72" s="9">
        <v>539618651</v>
      </c>
      <c r="I72" s="1">
        <v>82</v>
      </c>
      <c r="J72" s="1">
        <v>18</v>
      </c>
      <c r="K72" s="6" t="s">
        <v>16</v>
      </c>
    </row>
    <row r="73" spans="1:11" ht="15.75" thickBot="1" x14ac:dyDescent="0.3">
      <c r="A73" s="8" t="s">
        <v>157</v>
      </c>
      <c r="B73" s="1">
        <v>38</v>
      </c>
      <c r="C73" s="1">
        <f t="shared" si="30"/>
        <v>62</v>
      </c>
      <c r="D73" s="1">
        <v>9</v>
      </c>
      <c r="E73" s="1">
        <v>25</v>
      </c>
      <c r="F73" s="1">
        <v>44</v>
      </c>
      <c r="G73" s="1">
        <v>22</v>
      </c>
      <c r="H73" s="9">
        <v>758790057</v>
      </c>
      <c r="I73" s="1">
        <v>82</v>
      </c>
      <c r="J73" s="1">
        <f>100-I73</f>
        <v>18</v>
      </c>
      <c r="K73" s="6" t="s">
        <v>16</v>
      </c>
    </row>
  </sheetData>
  <pageMargins left="0.7" right="0.7" top="0.75" bottom="0.75" header="0.3" footer="0.3"/>
  <headerFooter>
    <oddHeader>&amp;R&amp;"Aptos"&amp;10&amp;K000000 #interna&amp;1#_x000D_</oddHeader>
  </headerFooter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Frederico de Souza Barcellos</dc:creator>
  <cp:lastModifiedBy>Carlos Frederico de Souza Barcellos</cp:lastModifiedBy>
  <dcterms:created xsi:type="dcterms:W3CDTF">2015-06-05T18:17:20Z</dcterms:created>
  <dcterms:modified xsi:type="dcterms:W3CDTF">2026-10-02T18:48:17Z</dcterms:modified>
</cp:coreProperties>
</file>