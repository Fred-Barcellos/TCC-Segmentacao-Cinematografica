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banco365-my.sharepoint.com/personal/carlos_barcellos_bb_com_br/Documents/Documentos/Outros/MBA/Tabelas/"/>
    </mc:Choice>
  </mc:AlternateContent>
  <xr:revisionPtr revIDLastSave="13" documentId="11_F25DC773A252ABDACC1048B8919B58365BDE5900" xr6:coauthVersionLast="47" xr6:coauthVersionMax="47" xr10:uidLastSave="{B2F38478-C3CF-4611-BC34-B559F3EC594F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0" i="1" l="1"/>
  <c r="G50" i="1"/>
  <c r="C50" i="1"/>
  <c r="J49" i="1"/>
  <c r="G49" i="1"/>
  <c r="C49" i="1"/>
  <c r="J48" i="1"/>
  <c r="G48" i="1"/>
  <c r="C48" i="1"/>
  <c r="J47" i="1"/>
  <c r="G47" i="1"/>
  <c r="C47" i="1"/>
  <c r="J46" i="1"/>
  <c r="G46" i="1"/>
  <c r="C46" i="1"/>
  <c r="J45" i="1"/>
  <c r="G45" i="1"/>
  <c r="C45" i="1"/>
  <c r="J44" i="1"/>
  <c r="G44" i="1"/>
  <c r="C44" i="1"/>
  <c r="J43" i="1"/>
  <c r="G43" i="1"/>
  <c r="C43" i="1"/>
  <c r="J42" i="1"/>
  <c r="G42" i="1"/>
  <c r="C42" i="1"/>
  <c r="J41" i="1"/>
  <c r="G41" i="1"/>
  <c r="C41" i="1"/>
  <c r="J40" i="1"/>
  <c r="G40" i="1"/>
  <c r="C40" i="1"/>
  <c r="J39" i="1"/>
  <c r="G39" i="1"/>
  <c r="C39" i="1"/>
  <c r="J38" i="1"/>
  <c r="G38" i="1"/>
  <c r="C38" i="1"/>
  <c r="J37" i="1"/>
  <c r="G37" i="1"/>
  <c r="C37" i="1"/>
  <c r="J36" i="1"/>
  <c r="G36" i="1"/>
  <c r="C36" i="1"/>
  <c r="J35" i="1"/>
  <c r="G35" i="1"/>
  <c r="C35" i="1"/>
  <c r="J34" i="1"/>
  <c r="G34" i="1"/>
  <c r="C34" i="1"/>
  <c r="J33" i="1"/>
  <c r="G33" i="1"/>
  <c r="C33" i="1"/>
  <c r="G32" i="1"/>
  <c r="C32" i="1"/>
  <c r="J31" i="1"/>
  <c r="G31" i="1"/>
  <c r="C31" i="1"/>
  <c r="J30" i="1"/>
  <c r="G30" i="1"/>
  <c r="C30" i="1"/>
  <c r="J29" i="1"/>
  <c r="G29" i="1"/>
  <c r="C29" i="1"/>
  <c r="J28" i="1"/>
  <c r="G28" i="1"/>
  <c r="C28" i="1"/>
  <c r="J27" i="1"/>
  <c r="G27" i="1"/>
  <c r="C27" i="1"/>
  <c r="J26" i="1"/>
  <c r="G26" i="1"/>
  <c r="C26" i="1"/>
  <c r="J25" i="1"/>
  <c r="G25" i="1"/>
  <c r="C25" i="1"/>
  <c r="J24" i="1"/>
  <c r="G24" i="1"/>
  <c r="C24" i="1"/>
  <c r="J23" i="1"/>
  <c r="G23" i="1"/>
  <c r="C23" i="1"/>
  <c r="J22" i="1"/>
  <c r="G22" i="1"/>
  <c r="C22" i="1"/>
  <c r="J21" i="1"/>
  <c r="G21" i="1"/>
  <c r="C21" i="1"/>
  <c r="J20" i="1"/>
  <c r="G20" i="1"/>
  <c r="C20" i="1"/>
  <c r="J19" i="1"/>
  <c r="G19" i="1"/>
  <c r="C19" i="1"/>
  <c r="J18" i="1"/>
  <c r="G18" i="1"/>
  <c r="C18" i="1"/>
  <c r="J17" i="1"/>
  <c r="G17" i="1"/>
  <c r="C17" i="1"/>
  <c r="J16" i="1"/>
  <c r="G16" i="1"/>
  <c r="C16" i="1"/>
  <c r="J15" i="1"/>
  <c r="G15" i="1"/>
  <c r="C15" i="1"/>
  <c r="C14" i="1"/>
  <c r="C13" i="1"/>
  <c r="C12" i="1"/>
  <c r="C11" i="1"/>
  <c r="C10" i="1"/>
  <c r="C9" i="1"/>
  <c r="C8" i="1"/>
  <c r="C7" i="1"/>
  <c r="C6" i="1"/>
  <c r="J5" i="1"/>
  <c r="G5" i="1"/>
  <c r="C5" i="1"/>
  <c r="J4" i="1"/>
  <c r="C4" i="1"/>
  <c r="J3" i="1"/>
  <c r="G3" i="1"/>
  <c r="C3" i="1"/>
  <c r="J2" i="1"/>
  <c r="G2" i="1"/>
  <c r="C2" i="1"/>
</calcChain>
</file>

<file path=xl/sharedStrings.xml><?xml version="1.0" encoding="utf-8"?>
<sst xmlns="http://schemas.openxmlformats.org/spreadsheetml/2006/main" count="158" uniqueCount="117">
  <si>
    <t>Filme</t>
  </si>
  <si>
    <t>Homens-Pct</t>
  </si>
  <si>
    <t>Mulheres-Pct</t>
  </si>
  <si>
    <t>Baby-Boomers-Pct</t>
  </si>
  <si>
    <t>Gen-X-Pct</t>
  </si>
  <si>
    <t>Gen-Y-Pct</t>
  </si>
  <si>
    <t>Gen-Z-Pct</t>
  </si>
  <si>
    <t>Bilheteria-Mundial-Milhoes</t>
  </si>
  <si>
    <t>Não-Frequente</t>
  </si>
  <si>
    <t xml:space="preserve">Frequente </t>
  </si>
  <si>
    <t>CinemaScore</t>
  </si>
  <si>
    <t>The Phoenician Scheme</t>
  </si>
  <si>
    <t>40,566,381</t>
  </si>
  <si>
    <t>B-</t>
  </si>
  <si>
    <t>One of Them Days</t>
  </si>
  <si>
    <t>51,896,264</t>
  </si>
  <si>
    <t>A-</t>
  </si>
  <si>
    <t>Beetlejuice Beetlejuice</t>
  </si>
  <si>
    <t>452,000,435</t>
  </si>
  <si>
    <t>B+</t>
  </si>
  <si>
    <t>The Fall Guy</t>
  </si>
  <si>
    <t>181,073,291</t>
  </si>
  <si>
    <t>Mean Girls</t>
  </si>
  <si>
    <t>104,970,953</t>
  </si>
  <si>
    <t>B</t>
  </si>
  <si>
    <t>Fly Me to the Moon</t>
  </si>
  <si>
    <t>42,260,534</t>
  </si>
  <si>
    <t>Barbie</t>
  </si>
  <si>
    <t>1,447,138,421</t>
  </si>
  <si>
    <t>A</t>
  </si>
  <si>
    <t>Naked Gun</t>
  </si>
  <si>
    <t>102,147,396</t>
  </si>
  <si>
    <t xml:space="preserve">The Lost City </t>
  </si>
  <si>
    <t>192,907,684</t>
  </si>
  <si>
    <t>No Hard Feelings</t>
  </si>
  <si>
    <t>87,256,407</t>
  </si>
  <si>
    <t>The Blackening</t>
  </si>
  <si>
    <t>18,169,453</t>
  </si>
  <si>
    <t>IF</t>
  </si>
  <si>
    <t>190,535,708</t>
  </si>
  <si>
    <t>Freakier Friday</t>
  </si>
  <si>
    <t>153,176,952</t>
  </si>
  <si>
    <t>Rental Family</t>
  </si>
  <si>
    <t>26,751,090</t>
  </si>
  <si>
    <t>The Roses</t>
  </si>
  <si>
    <t>51,989,385</t>
  </si>
  <si>
    <t>Roofman</t>
  </si>
  <si>
    <t>34,852,212</t>
  </si>
  <si>
    <t>Eddington</t>
  </si>
  <si>
    <t>13,741,720</t>
  </si>
  <si>
    <t>C+</t>
  </si>
  <si>
    <t>Bros</t>
  </si>
  <si>
    <t>14,781,956</t>
  </si>
  <si>
    <t>Amsterdam</t>
  </si>
  <si>
    <t>31,245,810</t>
  </si>
  <si>
    <t>Lyle, Lyle, Crocodile</t>
  </si>
  <si>
    <t>111,080,122</t>
  </si>
  <si>
    <t>80 for Brady</t>
  </si>
  <si>
    <t>40,480,875</t>
  </si>
  <si>
    <t xml:space="preserve">Champions </t>
  </si>
  <si>
    <t>21,899,506</t>
  </si>
  <si>
    <t>Renfield</t>
  </si>
  <si>
    <t>26,493,921</t>
  </si>
  <si>
    <t>Are You There God? It's Me, Margaret</t>
  </si>
  <si>
    <t>21,464,043</t>
  </si>
  <si>
    <t>Book Club: The Next Chapter</t>
  </si>
  <si>
    <t>29,014,500</t>
  </si>
  <si>
    <t>See How They Run</t>
  </si>
  <si>
    <t>21,966,634</t>
  </si>
  <si>
    <t>Mack &amp; Rita</t>
  </si>
  <si>
    <t>2,707,837</t>
  </si>
  <si>
    <t>D+</t>
  </si>
  <si>
    <t>Easter Sunday</t>
  </si>
  <si>
    <t>13,074,255</t>
  </si>
  <si>
    <t>Vengeance</t>
  </si>
  <si>
    <t>4,370,536</t>
  </si>
  <si>
    <t>The Unbearable Weight of Massive Talent</t>
  </si>
  <si>
    <t>29,116,320</t>
  </si>
  <si>
    <t>Clifford the Big Red Dog</t>
  </si>
  <si>
    <t>116,586,376</t>
  </si>
  <si>
    <t>Free Guy</t>
  </si>
  <si>
    <t>331,526,598</t>
  </si>
  <si>
    <t>About My Father</t>
  </si>
  <si>
    <t>18,167,819</t>
  </si>
  <si>
    <t>The Machine</t>
  </si>
  <si>
    <t>10,664,328</t>
  </si>
  <si>
    <t>Joy Ride</t>
  </si>
  <si>
    <t>15,787,674</t>
  </si>
  <si>
    <t>Haunted Mansion</t>
  </si>
  <si>
    <t>117,449,790</t>
  </si>
  <si>
    <t xml:space="preserve">Strays </t>
  </si>
  <si>
    <t>36,071,267</t>
  </si>
  <si>
    <t>My Big Fat Greek Wedding 3</t>
  </si>
  <si>
    <t>38,831,076</t>
  </si>
  <si>
    <t>Next Goal Wins</t>
  </si>
  <si>
    <t>18,648,802</t>
  </si>
  <si>
    <t>The Book of Clarence</t>
  </si>
  <si>
    <t>6,205,230</t>
  </si>
  <si>
    <t xml:space="preserve">Argylle </t>
  </si>
  <si>
    <t>96,221,061</t>
  </si>
  <si>
    <t>Lisa Frankenstein</t>
  </si>
  <si>
    <t>9,927,714</t>
  </si>
  <si>
    <t>Drive-Away Dolls</t>
  </si>
  <si>
    <t>7,935,363</t>
  </si>
  <si>
    <t>C</t>
  </si>
  <si>
    <t>Am I Racist?</t>
  </si>
  <si>
    <t>12,311,598</t>
  </si>
  <si>
    <t>Saturday Night</t>
  </si>
  <si>
    <t>10,055,029</t>
  </si>
  <si>
    <t>The Best Christmas Pageant Ever</t>
  </si>
  <si>
    <t>40,262,167</t>
  </si>
  <si>
    <t>Good Fortune</t>
  </si>
  <si>
    <t>26,387,104</t>
  </si>
  <si>
    <t>Asteroid City</t>
  </si>
  <si>
    <t>53,857,743</t>
  </si>
  <si>
    <t>Anaconda</t>
  </si>
  <si>
    <t>135,390,406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</si>
</sst>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Aptos Narrow"/>
    </font>
    <font>
      <sz val="11"/>
      <color theme="1"/>
      <name val="Arial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vertical="center"/>
    </xf>
    <xf numFmtId="0" fontId="1" fillId="0" borderId="0" xfId="0" applyFont="1" applyAlignment="1">
      <alignment horizontal="left"/>
    </xf>
    <xf numFmtId="3" fontId="3" fillId="0" borderId="0" xfId="0" applyNumberFormat="1" applyFont="1" applyAlignment="1">
      <alignment horizontal="center"/>
    </xf>
    <xf numFmtId="0" fontId="2" fillId="0" borderId="1" xfId="0" applyFont="1" applyBorder="1" applyAlignment="1">
      <alignment wrapText="1"/>
    </xf>
    <xf numFmtId="3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2" xfId="0" applyFont="1" applyBorder="1" applyAlignment="1">
      <alignment wrapText="1"/>
    </xf>
    <xf numFmtId="0" fontId="3" fillId="0" borderId="0" xfId="0" applyFont="1" applyAlignment="1">
      <alignment horizontal="center"/>
    </xf>
    <xf numFmtId="0" fontId="3" fillId="0" borderId="0" xfId="0" applyFont="1"/>
    <xf numFmtId="0" fontId="2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"/>
  <sheetViews>
    <sheetView tabSelected="1" workbookViewId="0">
      <selection activeCell="P8" sqref="P8"/>
    </sheetView>
  </sheetViews>
  <sheetFormatPr defaultRowHeight="14.5" x14ac:dyDescent="0.35"/>
  <cols>
    <col min="1" max="1" width="38.1796875" bestFit="1" customWidth="1"/>
    <col min="2" max="2" width="11.7265625" bestFit="1" customWidth="1"/>
    <col min="3" max="3" width="12.26953125" bestFit="1" customWidth="1"/>
    <col min="4" max="4" width="17.81640625" bestFit="1" customWidth="1"/>
    <col min="5" max="5" width="10" bestFit="1" customWidth="1"/>
    <col min="6" max="6" width="9.90625" bestFit="1" customWidth="1"/>
    <col min="7" max="7" width="9.81640625" bestFit="1" customWidth="1"/>
    <col min="8" max="8" width="24" bestFit="1" customWidth="1"/>
    <col min="9" max="9" width="14" bestFit="1" customWidth="1"/>
    <col min="10" max="10" width="9.453125" bestFit="1" customWidth="1"/>
    <col min="11" max="11" width="12.90625" bestFit="1" customWidth="1"/>
  </cols>
  <sheetData>
    <row r="1" spans="1:11" ht="1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3" t="s">
        <v>10</v>
      </c>
    </row>
    <row r="2" spans="1:11" ht="15" thickBot="1" x14ac:dyDescent="0.4">
      <c r="A2" s="4" t="s">
        <v>11</v>
      </c>
      <c r="B2" s="2">
        <v>62</v>
      </c>
      <c r="C2" s="1">
        <f t="shared" ref="C2:C49" si="0">100-B2</f>
        <v>38</v>
      </c>
      <c r="D2" s="2">
        <v>21</v>
      </c>
      <c r="E2" s="2">
        <v>25</v>
      </c>
      <c r="F2" s="2">
        <v>31</v>
      </c>
      <c r="G2" s="1">
        <f t="shared" ref="G2:G3" si="1">100-D2-E2-F2</f>
        <v>23</v>
      </c>
      <c r="H2" s="5" t="s">
        <v>12</v>
      </c>
      <c r="I2" s="2">
        <v>61</v>
      </c>
      <c r="J2" s="1">
        <f t="shared" ref="J2:J5" si="2">100-I2</f>
        <v>39</v>
      </c>
      <c r="K2" s="6" t="s">
        <v>13</v>
      </c>
    </row>
    <row r="3" spans="1:11" ht="15" thickBot="1" x14ac:dyDescent="0.4">
      <c r="A3" s="4" t="s">
        <v>14</v>
      </c>
      <c r="B3" s="2">
        <v>36</v>
      </c>
      <c r="C3" s="1">
        <f t="shared" si="0"/>
        <v>64</v>
      </c>
      <c r="D3" s="2">
        <v>5</v>
      </c>
      <c r="E3" s="2">
        <v>16</v>
      </c>
      <c r="F3" s="2">
        <v>47</v>
      </c>
      <c r="G3" s="1">
        <f t="shared" si="1"/>
        <v>32</v>
      </c>
      <c r="H3" s="5" t="s">
        <v>15</v>
      </c>
      <c r="I3" s="2">
        <v>73</v>
      </c>
      <c r="J3" s="1">
        <f t="shared" si="2"/>
        <v>27</v>
      </c>
      <c r="K3" s="6" t="s">
        <v>16</v>
      </c>
    </row>
    <row r="4" spans="1:11" ht="15" thickBot="1" x14ac:dyDescent="0.4">
      <c r="A4" s="4" t="s">
        <v>17</v>
      </c>
      <c r="B4" s="1">
        <v>45</v>
      </c>
      <c r="C4" s="1">
        <f t="shared" si="0"/>
        <v>55</v>
      </c>
      <c r="D4" s="1">
        <v>6</v>
      </c>
      <c r="E4" s="1">
        <v>24</v>
      </c>
      <c r="F4" s="1">
        <v>52</v>
      </c>
      <c r="G4" s="2">
        <v>18</v>
      </c>
      <c r="H4" s="7" t="s">
        <v>18</v>
      </c>
      <c r="I4" s="1">
        <v>77</v>
      </c>
      <c r="J4" s="1">
        <f t="shared" si="2"/>
        <v>23</v>
      </c>
      <c r="K4" s="6" t="s">
        <v>19</v>
      </c>
    </row>
    <row r="5" spans="1:11" ht="15" thickBot="1" x14ac:dyDescent="0.4">
      <c r="A5" s="4" t="s">
        <v>20</v>
      </c>
      <c r="B5" s="1">
        <v>57</v>
      </c>
      <c r="C5" s="1">
        <f t="shared" si="0"/>
        <v>43</v>
      </c>
      <c r="D5" s="1">
        <v>18</v>
      </c>
      <c r="E5" s="1">
        <v>34</v>
      </c>
      <c r="F5" s="1">
        <v>30</v>
      </c>
      <c r="G5" s="1">
        <f>100-D5-E5-F5</f>
        <v>18</v>
      </c>
      <c r="H5" s="7" t="s">
        <v>21</v>
      </c>
      <c r="I5" s="1">
        <v>62</v>
      </c>
      <c r="J5" s="1">
        <f t="shared" si="2"/>
        <v>38</v>
      </c>
      <c r="K5" s="6" t="s">
        <v>16</v>
      </c>
    </row>
    <row r="6" spans="1:11" ht="15" thickBot="1" x14ac:dyDescent="0.4">
      <c r="A6" s="8" t="s">
        <v>22</v>
      </c>
      <c r="B6" s="2">
        <v>29</v>
      </c>
      <c r="C6" s="1">
        <f t="shared" si="0"/>
        <v>71</v>
      </c>
      <c r="D6" s="2">
        <v>3</v>
      </c>
      <c r="E6" s="2">
        <v>18</v>
      </c>
      <c r="F6" s="2">
        <v>37</v>
      </c>
      <c r="G6" s="2">
        <v>42</v>
      </c>
      <c r="H6" s="2" t="s">
        <v>23</v>
      </c>
      <c r="I6" s="2">
        <v>78</v>
      </c>
      <c r="J6" s="2">
        <v>22</v>
      </c>
      <c r="K6" s="6" t="s">
        <v>24</v>
      </c>
    </row>
    <row r="7" spans="1:11" ht="15" thickBot="1" x14ac:dyDescent="0.4">
      <c r="A7" s="4" t="s">
        <v>25</v>
      </c>
      <c r="B7" s="2">
        <v>49</v>
      </c>
      <c r="C7" s="1">
        <f t="shared" si="0"/>
        <v>51</v>
      </c>
      <c r="D7" s="2">
        <v>32</v>
      </c>
      <c r="E7" s="2">
        <v>36</v>
      </c>
      <c r="F7" s="2">
        <v>20</v>
      </c>
      <c r="G7" s="2">
        <v>12</v>
      </c>
      <c r="H7" s="1" t="s">
        <v>26</v>
      </c>
      <c r="I7" s="2">
        <v>62</v>
      </c>
      <c r="J7" s="2">
        <v>38</v>
      </c>
      <c r="K7" s="6" t="s">
        <v>16</v>
      </c>
    </row>
    <row r="8" spans="1:11" ht="15" thickBot="1" x14ac:dyDescent="0.4">
      <c r="A8" s="4" t="s">
        <v>27</v>
      </c>
      <c r="B8" s="2">
        <v>36</v>
      </c>
      <c r="C8" s="1">
        <f t="shared" si="0"/>
        <v>64</v>
      </c>
      <c r="D8" s="2">
        <v>3</v>
      </c>
      <c r="E8" s="2">
        <v>17</v>
      </c>
      <c r="F8" s="2">
        <v>40</v>
      </c>
      <c r="G8" s="2">
        <v>40</v>
      </c>
      <c r="H8" s="1" t="s">
        <v>28</v>
      </c>
      <c r="I8" s="2">
        <v>82</v>
      </c>
      <c r="J8" s="2">
        <v>18</v>
      </c>
      <c r="K8" s="6" t="s">
        <v>29</v>
      </c>
    </row>
    <row r="9" spans="1:11" ht="15" thickBot="1" x14ac:dyDescent="0.4">
      <c r="A9" s="4" t="s">
        <v>30</v>
      </c>
      <c r="B9" s="1">
        <v>64</v>
      </c>
      <c r="C9" s="1">
        <f t="shared" si="0"/>
        <v>36</v>
      </c>
      <c r="D9" s="1">
        <v>21</v>
      </c>
      <c r="E9" s="1">
        <v>33</v>
      </c>
      <c r="F9" s="1">
        <v>33</v>
      </c>
      <c r="G9" s="1">
        <v>13</v>
      </c>
      <c r="H9" s="1" t="s">
        <v>31</v>
      </c>
      <c r="I9" s="1">
        <v>59</v>
      </c>
      <c r="J9" s="1">
        <v>41</v>
      </c>
      <c r="K9" s="9" t="s">
        <v>16</v>
      </c>
    </row>
    <row r="10" spans="1:11" ht="15" thickBot="1" x14ac:dyDescent="0.4">
      <c r="A10" s="4" t="s">
        <v>32</v>
      </c>
      <c r="B10" s="2">
        <v>45</v>
      </c>
      <c r="C10" s="1">
        <f t="shared" si="0"/>
        <v>55</v>
      </c>
      <c r="D10" s="2">
        <v>24</v>
      </c>
      <c r="E10" s="2">
        <v>35</v>
      </c>
      <c r="F10" s="2">
        <v>28</v>
      </c>
      <c r="G10" s="2">
        <v>13</v>
      </c>
      <c r="H10" s="1" t="s">
        <v>33</v>
      </c>
      <c r="I10" s="2">
        <v>64</v>
      </c>
      <c r="J10" s="2">
        <v>36</v>
      </c>
      <c r="K10" s="6" t="s">
        <v>19</v>
      </c>
    </row>
    <row r="11" spans="1:11" ht="15" thickBot="1" x14ac:dyDescent="0.4">
      <c r="A11" s="4" t="s">
        <v>34</v>
      </c>
      <c r="B11" s="2">
        <v>51</v>
      </c>
      <c r="C11" s="1">
        <f t="shared" si="0"/>
        <v>49</v>
      </c>
      <c r="D11" s="2">
        <v>14</v>
      </c>
      <c r="E11" s="2">
        <v>26</v>
      </c>
      <c r="F11" s="2">
        <v>33</v>
      </c>
      <c r="G11" s="2">
        <v>27</v>
      </c>
      <c r="H11" s="1" t="s">
        <v>35</v>
      </c>
      <c r="I11" s="2">
        <v>63</v>
      </c>
      <c r="J11" s="2">
        <v>37</v>
      </c>
      <c r="K11" s="6" t="s">
        <v>19</v>
      </c>
    </row>
    <row r="12" spans="1:11" ht="15" thickBot="1" x14ac:dyDescent="0.4">
      <c r="A12" s="4" t="s">
        <v>36</v>
      </c>
      <c r="B12" s="2">
        <v>46</v>
      </c>
      <c r="C12" s="1">
        <f t="shared" si="0"/>
        <v>54</v>
      </c>
      <c r="D12" s="2">
        <v>5</v>
      </c>
      <c r="E12" s="2">
        <v>17</v>
      </c>
      <c r="F12" s="2">
        <v>42</v>
      </c>
      <c r="G12" s="2">
        <v>36</v>
      </c>
      <c r="H12" s="1" t="s">
        <v>37</v>
      </c>
      <c r="I12" s="2">
        <v>66</v>
      </c>
      <c r="J12" s="2">
        <v>34</v>
      </c>
      <c r="K12" s="6" t="s">
        <v>19</v>
      </c>
    </row>
    <row r="13" spans="1:11" ht="15" thickBot="1" x14ac:dyDescent="0.4">
      <c r="A13" s="4" t="s">
        <v>38</v>
      </c>
      <c r="B13" s="2">
        <v>44</v>
      </c>
      <c r="C13" s="1">
        <f t="shared" si="0"/>
        <v>56</v>
      </c>
      <c r="D13" s="2">
        <v>9</v>
      </c>
      <c r="E13" s="2">
        <v>25</v>
      </c>
      <c r="F13" s="2">
        <v>52</v>
      </c>
      <c r="G13" s="2">
        <v>14</v>
      </c>
      <c r="H13" s="1" t="s">
        <v>39</v>
      </c>
      <c r="I13" s="2">
        <v>75</v>
      </c>
      <c r="J13" s="2">
        <v>25</v>
      </c>
      <c r="K13" s="6" t="s">
        <v>29</v>
      </c>
    </row>
    <row r="14" spans="1:11" ht="15" thickBot="1" x14ac:dyDescent="0.4">
      <c r="A14" s="4" t="s">
        <v>40</v>
      </c>
      <c r="B14" s="1">
        <v>33</v>
      </c>
      <c r="C14" s="1">
        <f t="shared" si="0"/>
        <v>67</v>
      </c>
      <c r="D14" s="1">
        <v>10</v>
      </c>
      <c r="E14" s="1">
        <v>23</v>
      </c>
      <c r="F14" s="1">
        <v>53</v>
      </c>
      <c r="G14" s="1">
        <v>14</v>
      </c>
      <c r="H14" s="1" t="s">
        <v>41</v>
      </c>
      <c r="I14" s="1">
        <v>74</v>
      </c>
      <c r="J14" s="1">
        <v>26</v>
      </c>
      <c r="K14" s="6" t="s">
        <v>29</v>
      </c>
    </row>
    <row r="15" spans="1:11" ht="15" thickBot="1" x14ac:dyDescent="0.4">
      <c r="A15" s="8" t="s">
        <v>42</v>
      </c>
      <c r="B15" s="2">
        <v>54</v>
      </c>
      <c r="C15" s="1">
        <f t="shared" si="0"/>
        <v>46</v>
      </c>
      <c r="D15" s="2">
        <v>30</v>
      </c>
      <c r="E15" s="2">
        <v>32</v>
      </c>
      <c r="F15" s="2">
        <v>28</v>
      </c>
      <c r="G15" s="1">
        <f t="shared" ref="G15:G49" si="3">100-D15-E15-F15</f>
        <v>10</v>
      </c>
      <c r="H15" s="10" t="s">
        <v>43</v>
      </c>
      <c r="I15" s="2">
        <v>54</v>
      </c>
      <c r="J15" s="1">
        <f t="shared" ref="J15:J31" si="4">100-I15</f>
        <v>46</v>
      </c>
      <c r="K15" s="6" t="s">
        <v>29</v>
      </c>
    </row>
    <row r="16" spans="1:11" ht="15" thickBot="1" x14ac:dyDescent="0.4">
      <c r="A16" s="8" t="s">
        <v>44</v>
      </c>
      <c r="B16" s="2">
        <v>46</v>
      </c>
      <c r="C16" s="1">
        <f t="shared" si="0"/>
        <v>54</v>
      </c>
      <c r="D16" s="2">
        <v>35</v>
      </c>
      <c r="E16" s="2">
        <v>39</v>
      </c>
      <c r="F16" s="2">
        <v>17</v>
      </c>
      <c r="G16" s="1">
        <f t="shared" si="3"/>
        <v>9</v>
      </c>
      <c r="H16" s="10" t="s">
        <v>45</v>
      </c>
      <c r="I16" s="2">
        <v>59</v>
      </c>
      <c r="J16" s="1">
        <f t="shared" si="4"/>
        <v>41</v>
      </c>
      <c r="K16" s="6" t="s">
        <v>19</v>
      </c>
    </row>
    <row r="17" spans="1:11" ht="15" thickBot="1" x14ac:dyDescent="0.4">
      <c r="A17" s="8" t="s">
        <v>46</v>
      </c>
      <c r="B17" s="2">
        <v>54</v>
      </c>
      <c r="C17" s="1">
        <f t="shared" si="0"/>
        <v>46</v>
      </c>
      <c r="D17" s="2">
        <v>23</v>
      </c>
      <c r="E17" s="2">
        <v>34</v>
      </c>
      <c r="F17" s="2">
        <v>28</v>
      </c>
      <c r="G17" s="1">
        <f t="shared" si="3"/>
        <v>15</v>
      </c>
      <c r="H17" s="10" t="s">
        <v>47</v>
      </c>
      <c r="I17" s="2">
        <v>52</v>
      </c>
      <c r="J17" s="1">
        <f t="shared" si="4"/>
        <v>48</v>
      </c>
      <c r="K17" s="6" t="s">
        <v>19</v>
      </c>
    </row>
    <row r="18" spans="1:11" ht="15" thickBot="1" x14ac:dyDescent="0.4">
      <c r="A18" s="8" t="s">
        <v>48</v>
      </c>
      <c r="B18" s="2">
        <v>67</v>
      </c>
      <c r="C18" s="1">
        <f t="shared" si="0"/>
        <v>33</v>
      </c>
      <c r="D18" s="2">
        <v>19</v>
      </c>
      <c r="E18" s="2">
        <v>23</v>
      </c>
      <c r="F18" s="2">
        <v>38</v>
      </c>
      <c r="G18" s="1">
        <f t="shared" si="3"/>
        <v>20</v>
      </c>
      <c r="H18" s="10" t="s">
        <v>49</v>
      </c>
      <c r="I18" s="2">
        <v>44</v>
      </c>
      <c r="J18" s="1">
        <f t="shared" si="4"/>
        <v>56</v>
      </c>
      <c r="K18" s="6" t="s">
        <v>50</v>
      </c>
    </row>
    <row r="19" spans="1:11" ht="15" thickBot="1" x14ac:dyDescent="0.4">
      <c r="A19" s="8" t="s">
        <v>51</v>
      </c>
      <c r="B19" s="2">
        <v>63</v>
      </c>
      <c r="C19" s="1">
        <f t="shared" si="0"/>
        <v>37</v>
      </c>
      <c r="D19" s="2">
        <v>14</v>
      </c>
      <c r="E19" s="2">
        <v>28</v>
      </c>
      <c r="F19" s="2">
        <v>39</v>
      </c>
      <c r="G19" s="1">
        <f t="shared" si="3"/>
        <v>19</v>
      </c>
      <c r="H19" s="10" t="s">
        <v>52</v>
      </c>
      <c r="I19" s="2">
        <v>65</v>
      </c>
      <c r="J19" s="1">
        <f t="shared" si="4"/>
        <v>35</v>
      </c>
      <c r="K19" s="6" t="s">
        <v>29</v>
      </c>
    </row>
    <row r="20" spans="1:11" x14ac:dyDescent="0.35">
      <c r="A20" s="11" t="s">
        <v>53</v>
      </c>
      <c r="B20" s="2">
        <v>57</v>
      </c>
      <c r="C20" s="1">
        <f t="shared" si="0"/>
        <v>43</v>
      </c>
      <c r="D20" s="2">
        <v>30</v>
      </c>
      <c r="E20" s="2">
        <v>30</v>
      </c>
      <c r="F20" s="2">
        <v>21</v>
      </c>
      <c r="G20" s="1">
        <f t="shared" si="3"/>
        <v>19</v>
      </c>
      <c r="H20" s="10" t="s">
        <v>54</v>
      </c>
      <c r="I20" s="2">
        <v>50</v>
      </c>
      <c r="J20" s="1">
        <f t="shared" si="4"/>
        <v>50</v>
      </c>
      <c r="K20" s="12" t="s">
        <v>24</v>
      </c>
    </row>
    <row r="21" spans="1:11" x14ac:dyDescent="0.35">
      <c r="A21" s="11" t="s">
        <v>55</v>
      </c>
      <c r="B21" s="2">
        <v>39</v>
      </c>
      <c r="C21" s="1">
        <f t="shared" si="0"/>
        <v>61</v>
      </c>
      <c r="D21" s="2">
        <v>13</v>
      </c>
      <c r="E21" s="2">
        <v>25</v>
      </c>
      <c r="F21" s="2">
        <v>46</v>
      </c>
      <c r="G21" s="1">
        <f t="shared" si="3"/>
        <v>16</v>
      </c>
      <c r="H21" s="10" t="s">
        <v>56</v>
      </c>
      <c r="I21" s="2">
        <v>66</v>
      </c>
      <c r="J21" s="1">
        <f t="shared" si="4"/>
        <v>34</v>
      </c>
      <c r="K21" s="12" t="s">
        <v>16</v>
      </c>
    </row>
    <row r="22" spans="1:11" x14ac:dyDescent="0.35">
      <c r="A22" s="11" t="s">
        <v>57</v>
      </c>
      <c r="B22" s="2">
        <v>33</v>
      </c>
      <c r="C22" s="1">
        <f t="shared" si="0"/>
        <v>67</v>
      </c>
      <c r="D22" s="2">
        <v>43</v>
      </c>
      <c r="E22" s="2">
        <v>37</v>
      </c>
      <c r="F22" s="2">
        <v>14</v>
      </c>
      <c r="G22" s="1">
        <f t="shared" si="3"/>
        <v>6</v>
      </c>
      <c r="H22" s="10" t="s">
        <v>58</v>
      </c>
      <c r="I22" s="2">
        <v>81</v>
      </c>
      <c r="J22" s="1">
        <f t="shared" si="4"/>
        <v>19</v>
      </c>
      <c r="K22" s="12" t="s">
        <v>16</v>
      </c>
    </row>
    <row r="23" spans="1:11" x14ac:dyDescent="0.35">
      <c r="A23" s="12" t="s">
        <v>59</v>
      </c>
      <c r="B23" s="2">
        <v>48</v>
      </c>
      <c r="C23" s="1">
        <f t="shared" si="0"/>
        <v>52</v>
      </c>
      <c r="D23" s="2">
        <v>29</v>
      </c>
      <c r="E23" s="2">
        <v>41</v>
      </c>
      <c r="F23" s="2">
        <v>21</v>
      </c>
      <c r="G23" s="1">
        <f t="shared" si="3"/>
        <v>9</v>
      </c>
      <c r="H23" s="10" t="s">
        <v>60</v>
      </c>
      <c r="I23" s="2">
        <v>64</v>
      </c>
      <c r="J23" s="1">
        <f t="shared" si="4"/>
        <v>36</v>
      </c>
      <c r="K23" s="12" t="s">
        <v>29</v>
      </c>
    </row>
    <row r="24" spans="1:11" x14ac:dyDescent="0.35">
      <c r="A24" s="11" t="s">
        <v>61</v>
      </c>
      <c r="B24" s="2">
        <v>59</v>
      </c>
      <c r="C24" s="1">
        <f t="shared" si="0"/>
        <v>41</v>
      </c>
      <c r="D24" s="2">
        <v>8</v>
      </c>
      <c r="E24" s="2">
        <v>28</v>
      </c>
      <c r="F24" s="2">
        <v>43</v>
      </c>
      <c r="G24" s="1">
        <f t="shared" si="3"/>
        <v>21</v>
      </c>
      <c r="H24" s="10" t="s">
        <v>62</v>
      </c>
      <c r="I24" s="2">
        <v>53</v>
      </c>
      <c r="J24" s="1">
        <f t="shared" si="4"/>
        <v>47</v>
      </c>
      <c r="K24" s="12" t="s">
        <v>13</v>
      </c>
    </row>
    <row r="25" spans="1:11" x14ac:dyDescent="0.35">
      <c r="A25" s="11" t="s">
        <v>63</v>
      </c>
      <c r="B25" s="2">
        <v>28</v>
      </c>
      <c r="C25" s="1">
        <f t="shared" si="0"/>
        <v>72</v>
      </c>
      <c r="D25" s="2">
        <v>27</v>
      </c>
      <c r="E25" s="2">
        <v>40</v>
      </c>
      <c r="F25" s="2">
        <v>23</v>
      </c>
      <c r="G25" s="1">
        <f t="shared" si="3"/>
        <v>10</v>
      </c>
      <c r="H25" s="10" t="s">
        <v>64</v>
      </c>
      <c r="I25" s="2">
        <v>73</v>
      </c>
      <c r="J25" s="1">
        <f t="shared" si="4"/>
        <v>27</v>
      </c>
      <c r="K25" s="12" t="s">
        <v>29</v>
      </c>
    </row>
    <row r="26" spans="1:11" ht="15" thickBot="1" x14ac:dyDescent="0.4">
      <c r="A26" s="11" t="s">
        <v>65</v>
      </c>
      <c r="B26" s="2">
        <v>28</v>
      </c>
      <c r="C26" s="1">
        <f t="shared" si="0"/>
        <v>72</v>
      </c>
      <c r="D26" s="2">
        <v>42</v>
      </c>
      <c r="E26" s="2">
        <v>35</v>
      </c>
      <c r="F26" s="2">
        <v>16</v>
      </c>
      <c r="G26" s="1">
        <f t="shared" si="3"/>
        <v>7</v>
      </c>
      <c r="H26" s="10" t="s">
        <v>66</v>
      </c>
      <c r="I26" s="2">
        <v>74</v>
      </c>
      <c r="J26" s="1">
        <f t="shared" si="4"/>
        <v>26</v>
      </c>
      <c r="K26" s="12" t="s">
        <v>24</v>
      </c>
    </row>
    <row r="27" spans="1:11" ht="15" thickBot="1" x14ac:dyDescent="0.4">
      <c r="A27" s="8" t="s">
        <v>67</v>
      </c>
      <c r="B27" s="2">
        <v>54</v>
      </c>
      <c r="C27" s="1">
        <f t="shared" si="0"/>
        <v>46</v>
      </c>
      <c r="D27" s="2">
        <v>34</v>
      </c>
      <c r="E27" s="2">
        <v>31</v>
      </c>
      <c r="F27" s="2">
        <v>21</v>
      </c>
      <c r="G27" s="1">
        <f t="shared" si="3"/>
        <v>14</v>
      </c>
      <c r="H27" s="10" t="s">
        <v>68</v>
      </c>
      <c r="I27" s="2">
        <v>52</v>
      </c>
      <c r="J27" s="1">
        <f t="shared" si="4"/>
        <v>48</v>
      </c>
      <c r="K27" s="6" t="s">
        <v>13</v>
      </c>
    </row>
    <row r="28" spans="1:11" ht="15" thickBot="1" x14ac:dyDescent="0.4">
      <c r="A28" s="8" t="s">
        <v>69</v>
      </c>
      <c r="B28" s="2">
        <v>33</v>
      </c>
      <c r="C28" s="1">
        <f t="shared" si="0"/>
        <v>67</v>
      </c>
      <c r="D28" s="2">
        <v>52</v>
      </c>
      <c r="E28" s="2">
        <v>33</v>
      </c>
      <c r="F28" s="2">
        <v>10</v>
      </c>
      <c r="G28" s="1">
        <f t="shared" si="3"/>
        <v>5</v>
      </c>
      <c r="H28" s="10" t="s">
        <v>70</v>
      </c>
      <c r="I28" s="2">
        <v>53</v>
      </c>
      <c r="J28" s="1">
        <f t="shared" si="4"/>
        <v>47</v>
      </c>
      <c r="K28" s="6" t="s">
        <v>71</v>
      </c>
    </row>
    <row r="29" spans="1:11" ht="15" thickBot="1" x14ac:dyDescent="0.4">
      <c r="A29" s="8" t="s">
        <v>72</v>
      </c>
      <c r="B29" s="2">
        <v>44</v>
      </c>
      <c r="C29" s="1">
        <f t="shared" si="0"/>
        <v>56</v>
      </c>
      <c r="D29" s="2">
        <v>14</v>
      </c>
      <c r="E29" s="2">
        <v>37</v>
      </c>
      <c r="F29" s="2">
        <v>35</v>
      </c>
      <c r="G29" s="1">
        <f t="shared" si="3"/>
        <v>14</v>
      </c>
      <c r="H29" s="10" t="s">
        <v>73</v>
      </c>
      <c r="I29" s="2">
        <v>70</v>
      </c>
      <c r="J29" s="1">
        <f t="shared" si="4"/>
        <v>30</v>
      </c>
      <c r="K29" s="6" t="s">
        <v>19</v>
      </c>
    </row>
    <row r="30" spans="1:11" ht="15" thickBot="1" x14ac:dyDescent="0.4">
      <c r="A30" s="8" t="s">
        <v>74</v>
      </c>
      <c r="B30" s="2">
        <v>57</v>
      </c>
      <c r="C30" s="1">
        <f t="shared" si="0"/>
        <v>43</v>
      </c>
      <c r="D30" s="2">
        <v>31</v>
      </c>
      <c r="E30" s="2">
        <v>32</v>
      </c>
      <c r="F30" s="2">
        <v>24</v>
      </c>
      <c r="G30" s="1">
        <f t="shared" si="3"/>
        <v>13</v>
      </c>
      <c r="H30" s="10" t="s">
        <v>75</v>
      </c>
      <c r="I30" s="2">
        <v>43</v>
      </c>
      <c r="J30" s="1">
        <f t="shared" si="4"/>
        <v>57</v>
      </c>
      <c r="K30" s="6" t="s">
        <v>19</v>
      </c>
    </row>
    <row r="31" spans="1:11" ht="15" thickBot="1" x14ac:dyDescent="0.4">
      <c r="A31" s="8" t="s">
        <v>76</v>
      </c>
      <c r="B31" s="2">
        <v>59</v>
      </c>
      <c r="C31" s="1">
        <f t="shared" si="0"/>
        <v>41</v>
      </c>
      <c r="D31" s="2">
        <v>16</v>
      </c>
      <c r="E31" s="2">
        <v>30</v>
      </c>
      <c r="F31" s="2">
        <v>33</v>
      </c>
      <c r="G31" s="1">
        <f t="shared" si="3"/>
        <v>21</v>
      </c>
      <c r="H31" s="10" t="s">
        <v>77</v>
      </c>
      <c r="I31" s="2">
        <v>52</v>
      </c>
      <c r="J31" s="1">
        <f t="shared" si="4"/>
        <v>48</v>
      </c>
      <c r="K31" s="6" t="s">
        <v>19</v>
      </c>
    </row>
    <row r="32" spans="1:11" ht="15" thickBot="1" x14ac:dyDescent="0.4">
      <c r="A32" s="8" t="s">
        <v>78</v>
      </c>
      <c r="B32" s="2">
        <v>38</v>
      </c>
      <c r="C32" s="1">
        <f t="shared" si="0"/>
        <v>62</v>
      </c>
      <c r="D32" s="2">
        <v>6</v>
      </c>
      <c r="E32" s="2">
        <v>18</v>
      </c>
      <c r="F32" s="2">
        <v>55</v>
      </c>
      <c r="G32" s="1">
        <f t="shared" si="3"/>
        <v>21</v>
      </c>
      <c r="H32" s="10" t="s">
        <v>79</v>
      </c>
      <c r="I32" s="2">
        <v>80</v>
      </c>
      <c r="J32" s="2">
        <v>20</v>
      </c>
      <c r="K32" s="6" t="s">
        <v>29</v>
      </c>
    </row>
    <row r="33" spans="1:11" ht="15" thickBot="1" x14ac:dyDescent="0.4">
      <c r="A33" s="8" t="s">
        <v>80</v>
      </c>
      <c r="B33" s="2">
        <v>64</v>
      </c>
      <c r="C33" s="1">
        <f t="shared" si="0"/>
        <v>36</v>
      </c>
      <c r="D33" s="2">
        <v>6</v>
      </c>
      <c r="E33" s="2">
        <v>23</v>
      </c>
      <c r="F33" s="2">
        <v>38</v>
      </c>
      <c r="G33" s="1">
        <f t="shared" si="3"/>
        <v>33</v>
      </c>
      <c r="H33" s="10" t="s">
        <v>81</v>
      </c>
      <c r="I33" s="2">
        <v>83</v>
      </c>
      <c r="J33" s="1">
        <f t="shared" ref="J33:J49" si="5">100-I33</f>
        <v>17</v>
      </c>
      <c r="K33" s="6" t="s">
        <v>29</v>
      </c>
    </row>
    <row r="34" spans="1:11" ht="15" thickBot="1" x14ac:dyDescent="0.4">
      <c r="A34" s="8" t="s">
        <v>82</v>
      </c>
      <c r="B34" s="2">
        <v>46</v>
      </c>
      <c r="C34" s="1">
        <f t="shared" si="0"/>
        <v>54</v>
      </c>
      <c r="D34" s="2">
        <v>35</v>
      </c>
      <c r="E34" s="2">
        <v>39</v>
      </c>
      <c r="F34" s="2">
        <v>17</v>
      </c>
      <c r="G34" s="1">
        <f t="shared" si="3"/>
        <v>9</v>
      </c>
      <c r="H34" s="10" t="s">
        <v>83</v>
      </c>
      <c r="I34" s="2">
        <v>63</v>
      </c>
      <c r="J34" s="1">
        <f t="shared" si="5"/>
        <v>37</v>
      </c>
      <c r="K34" s="6" t="s">
        <v>19</v>
      </c>
    </row>
    <row r="35" spans="1:11" x14ac:dyDescent="0.35">
      <c r="A35" s="11" t="s">
        <v>84</v>
      </c>
      <c r="B35" s="2">
        <v>66</v>
      </c>
      <c r="C35" s="1">
        <f t="shared" si="0"/>
        <v>34</v>
      </c>
      <c r="D35" s="2">
        <v>3</v>
      </c>
      <c r="E35" s="2">
        <v>18</v>
      </c>
      <c r="F35" s="2">
        <v>49</v>
      </c>
      <c r="G35" s="1">
        <f t="shared" si="3"/>
        <v>30</v>
      </c>
      <c r="H35" s="10" t="s">
        <v>85</v>
      </c>
      <c r="I35" s="2">
        <v>72</v>
      </c>
      <c r="J35" s="1">
        <f t="shared" si="5"/>
        <v>28</v>
      </c>
      <c r="K35" s="12" t="s">
        <v>19</v>
      </c>
    </row>
    <row r="36" spans="1:11" x14ac:dyDescent="0.35">
      <c r="A36" s="11" t="s">
        <v>86</v>
      </c>
      <c r="B36" s="2">
        <v>49</v>
      </c>
      <c r="C36" s="1">
        <f t="shared" si="0"/>
        <v>51</v>
      </c>
      <c r="D36" s="2">
        <v>12</v>
      </c>
      <c r="E36" s="2">
        <v>27</v>
      </c>
      <c r="F36" s="2">
        <v>41</v>
      </c>
      <c r="G36" s="1">
        <f t="shared" si="3"/>
        <v>20</v>
      </c>
      <c r="H36" s="10" t="s">
        <v>87</v>
      </c>
      <c r="I36" s="2">
        <v>53</v>
      </c>
      <c r="J36" s="1">
        <f t="shared" si="5"/>
        <v>47</v>
      </c>
      <c r="K36" s="12" t="s">
        <v>13</v>
      </c>
    </row>
    <row r="37" spans="1:11" x14ac:dyDescent="0.35">
      <c r="A37" s="11" t="s">
        <v>88</v>
      </c>
      <c r="B37" s="2">
        <v>45</v>
      </c>
      <c r="C37" s="1">
        <f t="shared" si="0"/>
        <v>55</v>
      </c>
      <c r="D37" s="2">
        <v>10</v>
      </c>
      <c r="E37" s="2">
        <v>30</v>
      </c>
      <c r="F37" s="2">
        <v>44</v>
      </c>
      <c r="G37" s="1">
        <f t="shared" si="3"/>
        <v>16</v>
      </c>
      <c r="H37" s="10" t="s">
        <v>89</v>
      </c>
      <c r="I37" s="2">
        <v>66</v>
      </c>
      <c r="J37" s="1">
        <f t="shared" si="5"/>
        <v>34</v>
      </c>
      <c r="K37" s="12" t="s">
        <v>19</v>
      </c>
    </row>
    <row r="38" spans="1:11" x14ac:dyDescent="0.35">
      <c r="A38" s="11" t="s">
        <v>90</v>
      </c>
      <c r="B38" s="2">
        <v>51</v>
      </c>
      <c r="C38" s="1">
        <f t="shared" si="0"/>
        <v>49</v>
      </c>
      <c r="D38" s="2">
        <v>10</v>
      </c>
      <c r="E38" s="2">
        <v>23</v>
      </c>
      <c r="F38" s="2">
        <v>38</v>
      </c>
      <c r="G38" s="1">
        <f t="shared" si="3"/>
        <v>29</v>
      </c>
      <c r="H38" s="10" t="s">
        <v>91</v>
      </c>
      <c r="I38" s="2">
        <v>56</v>
      </c>
      <c r="J38" s="1">
        <f t="shared" si="5"/>
        <v>44</v>
      </c>
      <c r="K38" s="12" t="s">
        <v>19</v>
      </c>
    </row>
    <row r="39" spans="1:11" x14ac:dyDescent="0.35">
      <c r="A39" s="11" t="s">
        <v>92</v>
      </c>
      <c r="B39" s="2">
        <v>37</v>
      </c>
      <c r="C39" s="1">
        <f t="shared" si="0"/>
        <v>63</v>
      </c>
      <c r="D39" s="2">
        <v>33</v>
      </c>
      <c r="E39" s="2">
        <v>38</v>
      </c>
      <c r="F39" s="2">
        <v>21</v>
      </c>
      <c r="G39" s="1">
        <f t="shared" si="3"/>
        <v>8</v>
      </c>
      <c r="H39" s="10" t="s">
        <v>93</v>
      </c>
      <c r="I39" s="2">
        <v>69</v>
      </c>
      <c r="J39" s="1">
        <f t="shared" si="5"/>
        <v>31</v>
      </c>
      <c r="K39" s="12" t="s">
        <v>24</v>
      </c>
    </row>
    <row r="40" spans="1:11" x14ac:dyDescent="0.35">
      <c r="A40" s="11" t="s">
        <v>94</v>
      </c>
      <c r="B40" s="2">
        <v>54</v>
      </c>
      <c r="C40" s="1">
        <f t="shared" si="0"/>
        <v>46</v>
      </c>
      <c r="D40" s="2">
        <v>23</v>
      </c>
      <c r="E40" s="2">
        <v>35</v>
      </c>
      <c r="F40" s="2">
        <v>32</v>
      </c>
      <c r="G40" s="1">
        <f t="shared" si="3"/>
        <v>10</v>
      </c>
      <c r="H40" s="10" t="s">
        <v>95</v>
      </c>
      <c r="I40" s="2">
        <v>48</v>
      </c>
      <c r="J40" s="1">
        <f t="shared" si="5"/>
        <v>52</v>
      </c>
      <c r="K40" s="12" t="s">
        <v>19</v>
      </c>
    </row>
    <row r="41" spans="1:11" x14ac:dyDescent="0.35">
      <c r="A41" s="11" t="s">
        <v>96</v>
      </c>
      <c r="B41" s="2">
        <v>52</v>
      </c>
      <c r="C41" s="1">
        <f t="shared" si="0"/>
        <v>48</v>
      </c>
      <c r="D41" s="2">
        <v>12</v>
      </c>
      <c r="E41" s="2">
        <v>30</v>
      </c>
      <c r="F41" s="2">
        <v>45</v>
      </c>
      <c r="G41" s="1">
        <f t="shared" si="3"/>
        <v>13</v>
      </c>
      <c r="H41" s="10" t="s">
        <v>97</v>
      </c>
      <c r="I41" s="2">
        <v>64</v>
      </c>
      <c r="J41" s="1">
        <f t="shared" si="5"/>
        <v>36</v>
      </c>
      <c r="K41" s="12" t="s">
        <v>24</v>
      </c>
    </row>
    <row r="42" spans="1:11" x14ac:dyDescent="0.35">
      <c r="A42" s="11" t="s">
        <v>98</v>
      </c>
      <c r="B42" s="2">
        <v>57</v>
      </c>
      <c r="C42" s="1">
        <f t="shared" si="0"/>
        <v>43</v>
      </c>
      <c r="D42" s="2">
        <v>19</v>
      </c>
      <c r="E42" s="2">
        <v>34</v>
      </c>
      <c r="F42" s="2">
        <v>30</v>
      </c>
      <c r="G42" s="1">
        <f t="shared" si="3"/>
        <v>17</v>
      </c>
      <c r="H42" s="10" t="s">
        <v>99</v>
      </c>
      <c r="I42" s="2">
        <v>58</v>
      </c>
      <c r="J42" s="1">
        <f t="shared" si="5"/>
        <v>42</v>
      </c>
      <c r="K42" s="12" t="s">
        <v>50</v>
      </c>
    </row>
    <row r="43" spans="1:11" x14ac:dyDescent="0.35">
      <c r="A43" s="11" t="s">
        <v>100</v>
      </c>
      <c r="B43" s="2">
        <v>48</v>
      </c>
      <c r="C43" s="1">
        <f t="shared" si="0"/>
        <v>52</v>
      </c>
      <c r="D43" s="2">
        <v>6</v>
      </c>
      <c r="E43" s="2">
        <v>17</v>
      </c>
      <c r="F43" s="2">
        <v>49</v>
      </c>
      <c r="G43" s="1">
        <f t="shared" si="3"/>
        <v>28</v>
      </c>
      <c r="H43" s="10" t="s">
        <v>101</v>
      </c>
      <c r="I43" s="2">
        <v>54</v>
      </c>
      <c r="J43" s="1">
        <f t="shared" si="5"/>
        <v>46</v>
      </c>
      <c r="K43" s="12" t="s">
        <v>24</v>
      </c>
    </row>
    <row r="44" spans="1:11" x14ac:dyDescent="0.35">
      <c r="A44" s="11" t="s">
        <v>102</v>
      </c>
      <c r="B44" s="2">
        <v>60</v>
      </c>
      <c r="C44" s="1">
        <f t="shared" si="0"/>
        <v>40</v>
      </c>
      <c r="D44" s="2">
        <v>19</v>
      </c>
      <c r="E44" s="2">
        <v>28</v>
      </c>
      <c r="F44" s="2">
        <v>34</v>
      </c>
      <c r="G44" s="1">
        <f t="shared" si="3"/>
        <v>19</v>
      </c>
      <c r="H44" s="10" t="s">
        <v>103</v>
      </c>
      <c r="I44" s="2">
        <v>40</v>
      </c>
      <c r="J44" s="1">
        <f t="shared" si="5"/>
        <v>60</v>
      </c>
      <c r="K44" s="12" t="s">
        <v>104</v>
      </c>
    </row>
    <row r="45" spans="1:11" x14ac:dyDescent="0.35">
      <c r="A45" s="11" t="s">
        <v>105</v>
      </c>
      <c r="B45" s="2">
        <v>61</v>
      </c>
      <c r="C45" s="1">
        <f t="shared" si="0"/>
        <v>39</v>
      </c>
      <c r="D45" s="2">
        <v>16</v>
      </c>
      <c r="E45" s="2">
        <v>33</v>
      </c>
      <c r="F45" s="2">
        <v>31</v>
      </c>
      <c r="G45" s="1">
        <f t="shared" si="3"/>
        <v>20</v>
      </c>
      <c r="H45" s="10" t="s">
        <v>106</v>
      </c>
      <c r="I45" s="2">
        <v>74</v>
      </c>
      <c r="J45" s="1">
        <f t="shared" si="5"/>
        <v>26</v>
      </c>
      <c r="K45" s="12" t="s">
        <v>29</v>
      </c>
    </row>
    <row r="46" spans="1:11" x14ac:dyDescent="0.35">
      <c r="A46" s="11" t="s">
        <v>107</v>
      </c>
      <c r="B46" s="2">
        <v>59</v>
      </c>
      <c r="C46" s="1">
        <f t="shared" si="0"/>
        <v>41</v>
      </c>
      <c r="D46" s="2">
        <v>24</v>
      </c>
      <c r="E46" s="2">
        <v>34</v>
      </c>
      <c r="F46" s="2">
        <v>26</v>
      </c>
      <c r="G46" s="1">
        <f t="shared" si="3"/>
        <v>16</v>
      </c>
      <c r="H46" s="10" t="s">
        <v>108</v>
      </c>
      <c r="I46" s="2">
        <v>51</v>
      </c>
      <c r="J46" s="1">
        <f t="shared" si="5"/>
        <v>49</v>
      </c>
      <c r="K46" s="12" t="s">
        <v>19</v>
      </c>
    </row>
    <row r="47" spans="1:11" ht="15" thickBot="1" x14ac:dyDescent="0.4">
      <c r="A47" s="11" t="s">
        <v>109</v>
      </c>
      <c r="B47" s="2">
        <v>42</v>
      </c>
      <c r="C47" s="1">
        <f t="shared" si="0"/>
        <v>58</v>
      </c>
      <c r="D47" s="2">
        <v>32</v>
      </c>
      <c r="E47" s="2">
        <v>34</v>
      </c>
      <c r="F47" s="2">
        <v>21</v>
      </c>
      <c r="G47" s="1">
        <f t="shared" si="3"/>
        <v>13</v>
      </c>
      <c r="H47" s="10" t="s">
        <v>110</v>
      </c>
      <c r="I47" s="2">
        <v>68</v>
      </c>
      <c r="J47" s="1">
        <f t="shared" si="5"/>
        <v>32</v>
      </c>
      <c r="K47" s="12" t="s">
        <v>29</v>
      </c>
    </row>
    <row r="48" spans="1:11" ht="15" thickBot="1" x14ac:dyDescent="0.4">
      <c r="A48" s="4" t="s">
        <v>111</v>
      </c>
      <c r="B48" s="1">
        <v>56</v>
      </c>
      <c r="C48" s="1">
        <f t="shared" si="0"/>
        <v>44</v>
      </c>
      <c r="D48" s="1">
        <v>20</v>
      </c>
      <c r="E48" s="1">
        <v>33</v>
      </c>
      <c r="F48" s="1">
        <v>36</v>
      </c>
      <c r="G48" s="1">
        <f t="shared" si="3"/>
        <v>11</v>
      </c>
      <c r="H48" s="1" t="s">
        <v>112</v>
      </c>
      <c r="I48" s="1">
        <v>50</v>
      </c>
      <c r="J48" s="1">
        <f t="shared" si="5"/>
        <v>50</v>
      </c>
      <c r="K48" s="6" t="s">
        <v>19</v>
      </c>
    </row>
    <row r="49" spans="1:11" ht="15" thickBot="1" x14ac:dyDescent="0.4">
      <c r="A49" s="4" t="s">
        <v>113</v>
      </c>
      <c r="B49" s="1">
        <v>64</v>
      </c>
      <c r="C49" s="1">
        <f t="shared" si="0"/>
        <v>36</v>
      </c>
      <c r="D49" s="1">
        <v>19</v>
      </c>
      <c r="E49" s="1">
        <v>27</v>
      </c>
      <c r="F49" s="1">
        <v>29</v>
      </c>
      <c r="G49" s="1">
        <f t="shared" si="3"/>
        <v>25</v>
      </c>
      <c r="H49" s="1" t="s">
        <v>114</v>
      </c>
      <c r="I49" s="1">
        <v>63</v>
      </c>
      <c r="J49" s="1">
        <f t="shared" si="5"/>
        <v>37</v>
      </c>
      <c r="K49" s="6" t="s">
        <v>24</v>
      </c>
    </row>
    <row r="50" spans="1:11" x14ac:dyDescent="0.35">
      <c r="A50" s="4" t="s">
        <v>115</v>
      </c>
      <c r="B50" s="2">
        <v>51</v>
      </c>
      <c r="C50" s="1">
        <f>100-B50</f>
        <v>49</v>
      </c>
      <c r="D50" s="2">
        <v>11</v>
      </c>
      <c r="E50" s="2">
        <v>32</v>
      </c>
      <c r="F50" s="2">
        <v>36</v>
      </c>
      <c r="G50" s="10">
        <f>100-D50-E50-F50</f>
        <v>21</v>
      </c>
      <c r="H50" s="5" t="s">
        <v>116</v>
      </c>
      <c r="I50" s="2">
        <v>65</v>
      </c>
      <c r="J50" s="1">
        <f>100-I50</f>
        <v>35</v>
      </c>
      <c r="K50" s="13" t="s">
        <v>24</v>
      </c>
    </row>
  </sheetData>
  <pageMargins left="0.7" right="0.7" top="0.75" bottom="0.75" header="0.3" footer="0.3"/>
  <headerFooter>
    <oddHeader>&amp;R&amp;"Aptos"&amp;10&amp;K000000 #interna&amp;1#_x000D_</oddHeader>
  </headerFooter>
</worksheet>
</file>

<file path=docMetadata/LabelInfo.xml><?xml version="1.0" encoding="utf-8"?>
<clbl:labelList xmlns:clbl="http://schemas.microsoft.com/office/2020/mipLabelMetadata">
  <clbl:label id="{40881dc9-f7f2-41de-a334-ceff3dc15b31}" enabled="1" method="Standard" siteId="{ea0c2907-38d2-4181-8750-b0b190b60443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Frederico de Souza Barcellos</dc:creator>
  <cp:lastModifiedBy>Carlos Frederico de Souza Barcellos</cp:lastModifiedBy>
  <dcterms:created xsi:type="dcterms:W3CDTF">2015-06-05T18:17:20Z</dcterms:created>
  <dcterms:modified xsi:type="dcterms:W3CDTF">2026-07-01T20:36:07Z</dcterms:modified>
</cp:coreProperties>
</file>