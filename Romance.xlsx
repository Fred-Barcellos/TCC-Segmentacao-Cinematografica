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banco365-my.sharepoint.com/personal/carlos_barcellos_bb_com_br/Documents/Documentos/Outros/MBA/Tabelas/"/>
    </mc:Choice>
  </mc:AlternateContent>
  <xr:revisionPtr revIDLastSave="14" documentId="11_F25DC773A252ABDACC1048B8919B58365BDE5900" xr6:coauthVersionLast="47" xr6:coauthVersionMax="47" xr10:uidLastSave="{838249C8-876B-4FB0-A6E4-08F488E3AF7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C13" i="1"/>
  <c r="J12" i="1"/>
  <c r="G12" i="1"/>
  <c r="C12" i="1"/>
  <c r="J11" i="1"/>
  <c r="C11" i="1"/>
  <c r="J6" i="1"/>
  <c r="C6" i="1"/>
  <c r="C5" i="1"/>
  <c r="J4" i="1"/>
  <c r="G4" i="1"/>
  <c r="C4" i="1"/>
  <c r="G2" i="1"/>
  <c r="C2" i="1"/>
</calcChain>
</file>

<file path=xl/sharedStrings.xml><?xml version="1.0" encoding="utf-8"?>
<sst xmlns="http://schemas.openxmlformats.org/spreadsheetml/2006/main" count="50" uniqueCount="42">
  <si>
    <t>Filme</t>
  </si>
  <si>
    <t>Homens-Pct</t>
  </si>
  <si>
    <t>Mulheres-Pct</t>
  </si>
  <si>
    <t>Baby-Boomers-Pct</t>
  </si>
  <si>
    <t>Gen-X-Pct</t>
  </si>
  <si>
    <t>Gen-Y-Pct</t>
  </si>
  <si>
    <t>Gen-Z-Pct</t>
  </si>
  <si>
    <t>Bilheteria-Mundial-Milhoes</t>
  </si>
  <si>
    <t>Não-Frequente</t>
  </si>
  <si>
    <t xml:space="preserve">Frequente </t>
  </si>
  <si>
    <t>CinemaScore</t>
  </si>
  <si>
    <t>In the Heights</t>
  </si>
  <si>
    <t>45,175,167</t>
  </si>
  <si>
    <t>A</t>
  </si>
  <si>
    <t>Snow White</t>
  </si>
  <si>
    <t>205,679,463</t>
  </si>
  <si>
    <t>B+</t>
  </si>
  <si>
    <t>The Little Mermaid</t>
  </si>
  <si>
    <t>569,642,672</t>
  </si>
  <si>
    <t>Anyone But You</t>
  </si>
  <si>
    <t>220,332,985</t>
  </si>
  <si>
    <t>It Ends with Us</t>
  </si>
  <si>
    <t>351,441,044</t>
  </si>
  <si>
    <t>A-</t>
  </si>
  <si>
    <t>Materialists</t>
  </si>
  <si>
    <t>107,949,056</t>
  </si>
  <si>
    <t>B-</t>
  </si>
  <si>
    <t>A Big Bold Beautiful Journey</t>
  </si>
  <si>
    <t>22,393,413</t>
  </si>
  <si>
    <t>regretting you</t>
  </si>
  <si>
    <t>90,452,948</t>
  </si>
  <si>
    <t>B</t>
  </si>
  <si>
    <t>Ticket to Paradise</t>
  </si>
  <si>
    <t>168,770,985</t>
  </si>
  <si>
    <t>Love Again</t>
  </si>
  <si>
    <t>12,696,584</t>
  </si>
  <si>
    <t>Marry Me</t>
  </si>
  <si>
    <t>50,541,093</t>
  </si>
  <si>
    <t>Redeeming Love</t>
  </si>
  <si>
    <t>9,464,198</t>
  </si>
  <si>
    <t>West Side Story</t>
  </si>
  <si>
    <t>76,016,171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</si>
</sst>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wrapText="1"/>
    </xf>
    <xf numFmtId="0" fontId="1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J14" sqref="J14"/>
    </sheetView>
  </sheetViews>
  <sheetFormatPr defaultRowHeight="14.5" x14ac:dyDescent="0.35"/>
  <cols>
    <col min="1" max="1" width="24.26953125" bestFit="1" customWidth="1"/>
    <col min="2" max="2" width="11.7265625" bestFit="1" customWidth="1"/>
    <col min="3" max="3" width="12.26953125" bestFit="1" customWidth="1"/>
    <col min="4" max="4" width="17.81640625" bestFit="1" customWidth="1"/>
    <col min="5" max="5" width="10" bestFit="1" customWidth="1"/>
    <col min="6" max="6" width="9.90625" bestFit="1" customWidth="1"/>
    <col min="7" max="7" width="9.81640625" bestFit="1" customWidth="1"/>
    <col min="8" max="8" width="24" bestFit="1" customWidth="1"/>
    <col min="9" max="9" width="14" bestFit="1" customWidth="1"/>
    <col min="10" max="10" width="8.54296875" customWidth="1"/>
    <col min="11" max="11" width="12.90625" bestFit="1" customWidth="1"/>
  </cols>
  <sheetData>
    <row r="1" spans="1:11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</row>
    <row r="2" spans="1:11" ht="15" thickBot="1" x14ac:dyDescent="0.4">
      <c r="A2" s="4" t="s">
        <v>11</v>
      </c>
      <c r="B2" s="2">
        <v>43</v>
      </c>
      <c r="C2" s="1">
        <f>100-B2</f>
        <v>57</v>
      </c>
      <c r="D2" s="2">
        <v>15</v>
      </c>
      <c r="E2" s="2">
        <v>24</v>
      </c>
      <c r="F2" s="2">
        <v>30</v>
      </c>
      <c r="G2" s="1">
        <f>100-D2-E2-F2</f>
        <v>31</v>
      </c>
      <c r="H2" s="2" t="s">
        <v>12</v>
      </c>
      <c r="I2" s="2">
        <v>93</v>
      </c>
      <c r="J2" s="2">
        <v>7</v>
      </c>
      <c r="K2" s="5" t="s">
        <v>13</v>
      </c>
    </row>
    <row r="3" spans="1:11" ht="15" thickBot="1" x14ac:dyDescent="0.4">
      <c r="A3" s="6" t="s">
        <v>14</v>
      </c>
      <c r="B3" s="1">
        <v>38</v>
      </c>
      <c r="C3" s="1">
        <v>62</v>
      </c>
      <c r="D3" s="1">
        <v>10</v>
      </c>
      <c r="E3" s="1">
        <v>25</v>
      </c>
      <c r="F3" s="1">
        <v>45</v>
      </c>
      <c r="G3" s="1">
        <v>20</v>
      </c>
      <c r="H3" s="7" t="s">
        <v>15</v>
      </c>
      <c r="I3" s="1">
        <v>77</v>
      </c>
      <c r="J3" s="1">
        <v>23</v>
      </c>
      <c r="K3" s="5" t="s">
        <v>16</v>
      </c>
    </row>
    <row r="4" spans="1:11" ht="15" thickBot="1" x14ac:dyDescent="0.4">
      <c r="A4" s="8" t="s">
        <v>17</v>
      </c>
      <c r="B4" s="2">
        <v>33</v>
      </c>
      <c r="C4" s="1">
        <f t="shared" ref="C4:C6" si="0">100-B4</f>
        <v>67</v>
      </c>
      <c r="D4" s="2">
        <v>4</v>
      </c>
      <c r="E4" s="2">
        <v>16</v>
      </c>
      <c r="F4" s="2">
        <v>55</v>
      </c>
      <c r="G4" s="9">
        <f>100-D4-E4-F4</f>
        <v>25</v>
      </c>
      <c r="H4" s="9" t="s">
        <v>18</v>
      </c>
      <c r="I4" s="2">
        <v>85</v>
      </c>
      <c r="J4" s="1">
        <f>100-I4</f>
        <v>15</v>
      </c>
      <c r="K4" s="10" t="s">
        <v>13</v>
      </c>
    </row>
    <row r="5" spans="1:11" ht="15" thickBot="1" x14ac:dyDescent="0.4">
      <c r="A5" s="6" t="s">
        <v>19</v>
      </c>
      <c r="B5" s="2">
        <v>38</v>
      </c>
      <c r="C5" s="1">
        <f t="shared" si="0"/>
        <v>62</v>
      </c>
      <c r="D5" s="2">
        <v>14</v>
      </c>
      <c r="E5" s="2">
        <v>25</v>
      </c>
      <c r="F5" s="2">
        <v>28</v>
      </c>
      <c r="G5" s="2">
        <v>33</v>
      </c>
      <c r="H5" s="1" t="s">
        <v>20</v>
      </c>
      <c r="I5" s="2">
        <v>66</v>
      </c>
      <c r="J5" s="2">
        <v>34</v>
      </c>
      <c r="K5" s="5" t="s">
        <v>16</v>
      </c>
    </row>
    <row r="6" spans="1:11" x14ac:dyDescent="0.35">
      <c r="A6" s="6" t="s">
        <v>21</v>
      </c>
      <c r="B6" s="1">
        <v>24</v>
      </c>
      <c r="C6" s="1">
        <f t="shared" si="0"/>
        <v>76</v>
      </c>
      <c r="D6" s="1">
        <v>7</v>
      </c>
      <c r="E6" s="1">
        <v>19</v>
      </c>
      <c r="F6" s="1">
        <v>41</v>
      </c>
      <c r="G6" s="1">
        <v>33</v>
      </c>
      <c r="H6" s="7" t="s">
        <v>22</v>
      </c>
      <c r="I6" s="1">
        <v>85</v>
      </c>
      <c r="J6" s="1">
        <f>100-I6</f>
        <v>15</v>
      </c>
      <c r="K6" s="11" t="s">
        <v>23</v>
      </c>
    </row>
    <row r="7" spans="1:11" x14ac:dyDescent="0.35">
      <c r="A7" s="8" t="s">
        <v>24</v>
      </c>
      <c r="B7" s="1">
        <v>35</v>
      </c>
      <c r="C7" s="1">
        <v>65</v>
      </c>
      <c r="D7" s="1">
        <v>10</v>
      </c>
      <c r="E7" s="1">
        <v>19</v>
      </c>
      <c r="F7" s="1">
        <v>41</v>
      </c>
      <c r="G7" s="2">
        <v>30</v>
      </c>
      <c r="H7" s="1" t="s">
        <v>25</v>
      </c>
      <c r="I7" s="1">
        <v>67</v>
      </c>
      <c r="J7" s="1">
        <v>33</v>
      </c>
      <c r="K7" s="11" t="s">
        <v>26</v>
      </c>
    </row>
    <row r="8" spans="1:11" x14ac:dyDescent="0.35">
      <c r="A8" s="8" t="s">
        <v>27</v>
      </c>
      <c r="B8" s="1">
        <v>47</v>
      </c>
      <c r="C8" s="1">
        <v>53</v>
      </c>
      <c r="D8" s="1">
        <v>30</v>
      </c>
      <c r="E8" s="1">
        <v>33</v>
      </c>
      <c r="F8" s="1">
        <v>24</v>
      </c>
      <c r="G8" s="1">
        <v>13</v>
      </c>
      <c r="H8" s="1" t="s">
        <v>28</v>
      </c>
      <c r="I8" s="1">
        <v>47</v>
      </c>
      <c r="J8" s="1">
        <v>53</v>
      </c>
      <c r="K8" s="11" t="s">
        <v>26</v>
      </c>
    </row>
    <row r="9" spans="1:11" x14ac:dyDescent="0.35">
      <c r="A9" s="6" t="s">
        <v>29</v>
      </c>
      <c r="B9" s="1">
        <v>24</v>
      </c>
      <c r="C9" s="1">
        <v>76</v>
      </c>
      <c r="D9" s="1">
        <v>5</v>
      </c>
      <c r="E9" s="1">
        <v>20</v>
      </c>
      <c r="F9" s="1">
        <v>30</v>
      </c>
      <c r="G9" s="2">
        <v>45</v>
      </c>
      <c r="H9" s="1" t="s">
        <v>30</v>
      </c>
      <c r="I9" s="1">
        <v>78</v>
      </c>
      <c r="J9" s="1">
        <v>22</v>
      </c>
      <c r="K9" s="11" t="s">
        <v>31</v>
      </c>
    </row>
    <row r="10" spans="1:11" x14ac:dyDescent="0.35">
      <c r="A10" s="6" t="s">
        <v>32</v>
      </c>
      <c r="B10" s="1">
        <v>37</v>
      </c>
      <c r="C10" s="1">
        <v>63</v>
      </c>
      <c r="D10" s="1">
        <v>34</v>
      </c>
      <c r="E10" s="1">
        <v>39</v>
      </c>
      <c r="F10" s="1">
        <v>18</v>
      </c>
      <c r="G10" s="1">
        <v>9</v>
      </c>
      <c r="H10" s="1" t="s">
        <v>33</v>
      </c>
      <c r="I10" s="1">
        <v>73</v>
      </c>
      <c r="J10" s="1">
        <v>27</v>
      </c>
      <c r="K10" s="11" t="s">
        <v>23</v>
      </c>
    </row>
    <row r="11" spans="1:11" x14ac:dyDescent="0.35">
      <c r="A11" s="6" t="s">
        <v>34</v>
      </c>
      <c r="B11" s="1">
        <v>67</v>
      </c>
      <c r="C11" s="1">
        <f t="shared" ref="C11:C13" si="1">100-B11</f>
        <v>33</v>
      </c>
      <c r="D11" s="1">
        <v>32</v>
      </c>
      <c r="E11" s="1">
        <v>32</v>
      </c>
      <c r="F11" s="1">
        <v>24</v>
      </c>
      <c r="G11" s="1">
        <v>12</v>
      </c>
      <c r="H11" s="1" t="s">
        <v>35</v>
      </c>
      <c r="I11" s="1">
        <v>65</v>
      </c>
      <c r="J11" s="1">
        <f t="shared" ref="J11:J12" si="2">100-I11</f>
        <v>35</v>
      </c>
      <c r="K11" s="11" t="s">
        <v>31</v>
      </c>
    </row>
    <row r="12" spans="1:11" x14ac:dyDescent="0.35">
      <c r="A12" s="6" t="s">
        <v>36</v>
      </c>
      <c r="B12" s="2">
        <v>32</v>
      </c>
      <c r="C12" s="1">
        <f t="shared" si="1"/>
        <v>68</v>
      </c>
      <c r="D12" s="2">
        <v>24</v>
      </c>
      <c r="E12" s="2">
        <v>32</v>
      </c>
      <c r="F12" s="2">
        <v>27</v>
      </c>
      <c r="G12" s="1">
        <f t="shared" ref="G12:G13" si="3">100-D12-E12-F12</f>
        <v>17</v>
      </c>
      <c r="H12" s="9" t="s">
        <v>37</v>
      </c>
      <c r="I12" s="2">
        <v>77</v>
      </c>
      <c r="J12" s="1">
        <f t="shared" si="2"/>
        <v>23</v>
      </c>
      <c r="K12" s="11" t="s">
        <v>16</v>
      </c>
    </row>
    <row r="13" spans="1:11" ht="15" thickBot="1" x14ac:dyDescent="0.4">
      <c r="A13" s="4" t="s">
        <v>38</v>
      </c>
      <c r="B13" s="2">
        <v>30</v>
      </c>
      <c r="C13" s="1">
        <f t="shared" si="1"/>
        <v>70</v>
      </c>
      <c r="D13" s="2">
        <v>23</v>
      </c>
      <c r="E13" s="2">
        <v>35</v>
      </c>
      <c r="F13" s="2">
        <v>30</v>
      </c>
      <c r="G13" s="1">
        <f t="shared" si="3"/>
        <v>12</v>
      </c>
      <c r="H13" s="9" t="s">
        <v>39</v>
      </c>
      <c r="I13" s="2">
        <v>75</v>
      </c>
      <c r="J13" s="2">
        <v>25</v>
      </c>
      <c r="K13" s="11" t="s">
        <v>16</v>
      </c>
    </row>
    <row r="14" spans="1:11" ht="15" thickBot="1" x14ac:dyDescent="0.4">
      <c r="A14" s="6" t="s">
        <v>40</v>
      </c>
      <c r="B14" s="1">
        <v>49</v>
      </c>
      <c r="C14" s="1">
        <v>51</v>
      </c>
      <c r="D14" s="1">
        <v>24</v>
      </c>
      <c r="E14" s="1">
        <v>30</v>
      </c>
      <c r="F14" s="1">
        <v>24</v>
      </c>
      <c r="G14" s="1">
        <v>22</v>
      </c>
      <c r="H14" s="1" t="s">
        <v>41</v>
      </c>
      <c r="I14" s="1">
        <v>71</v>
      </c>
      <c r="J14" s="1">
        <v>29</v>
      </c>
      <c r="K14" s="5" t="s">
        <v>13</v>
      </c>
    </row>
  </sheetData>
  <pageMargins left="0.7" right="0.7" top="0.75" bottom="0.75" header="0.3" footer="0.3"/>
  <headerFooter>
    <oddHeader>&amp;R&amp;"Aptos"&amp;10&amp;K000000 #interna&amp;1#_x000D_</oddHeader>
  </headerFooter>
</worksheet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Frederico de Souza Barcellos</dc:creator>
  <cp:lastModifiedBy>Carlos Frederico de Souza Barcellos</cp:lastModifiedBy>
  <dcterms:created xsi:type="dcterms:W3CDTF">2015-06-05T18:17:20Z</dcterms:created>
  <dcterms:modified xsi:type="dcterms:W3CDTF">2026-07-01T20:36:47Z</dcterms:modified>
</cp:coreProperties>
</file>