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34" documentId="11_F25DC773A252ABDACC1048B8919B58365BDE5900" xr6:coauthVersionLast="47" xr6:coauthVersionMax="47" xr10:uidLastSave="{8A2946B1-5507-4D18-BC82-197D6BA9871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C47" i="1"/>
  <c r="G46" i="1"/>
  <c r="C46" i="1"/>
  <c r="G45" i="1"/>
  <c r="C45" i="1"/>
  <c r="J44" i="1"/>
  <c r="G44" i="1"/>
  <c r="C44" i="1"/>
  <c r="J43" i="1"/>
  <c r="G43" i="1"/>
  <c r="C43" i="1"/>
  <c r="J42" i="1"/>
  <c r="G42" i="1"/>
  <c r="C42" i="1"/>
  <c r="J41" i="1"/>
  <c r="G41" i="1"/>
  <c r="C41" i="1"/>
  <c r="J40" i="1"/>
  <c r="G40" i="1"/>
  <c r="C40" i="1"/>
  <c r="J39" i="1"/>
  <c r="G39" i="1"/>
  <c r="C39" i="1"/>
  <c r="J38" i="1"/>
  <c r="G38" i="1"/>
  <c r="C38" i="1"/>
  <c r="J37" i="1"/>
  <c r="G37" i="1"/>
  <c r="C37" i="1"/>
  <c r="J36" i="1"/>
  <c r="G36" i="1"/>
  <c r="C36" i="1"/>
  <c r="J35" i="1"/>
  <c r="G35" i="1"/>
  <c r="C35" i="1"/>
  <c r="G34" i="1"/>
  <c r="C34" i="1"/>
  <c r="J33" i="1"/>
  <c r="G33" i="1"/>
  <c r="C33" i="1"/>
  <c r="J32" i="1"/>
  <c r="G32" i="1"/>
  <c r="C32" i="1"/>
  <c r="J31" i="1"/>
  <c r="G31" i="1"/>
  <c r="C31" i="1"/>
  <c r="J30" i="1"/>
  <c r="G30" i="1"/>
  <c r="C30" i="1"/>
  <c r="J29" i="1"/>
  <c r="G29" i="1"/>
  <c r="C29" i="1"/>
  <c r="J28" i="1"/>
  <c r="G28" i="1"/>
  <c r="C28" i="1"/>
  <c r="J27" i="1"/>
  <c r="G27" i="1"/>
  <c r="C27" i="1"/>
  <c r="J26" i="1"/>
  <c r="G26" i="1"/>
  <c r="C26" i="1"/>
  <c r="J25" i="1"/>
  <c r="G25" i="1"/>
  <c r="C25" i="1"/>
  <c r="J24" i="1"/>
  <c r="G24" i="1"/>
  <c r="C24" i="1"/>
  <c r="J23" i="1"/>
  <c r="G23" i="1"/>
  <c r="C23" i="1"/>
  <c r="J22" i="1"/>
  <c r="G22" i="1"/>
  <c r="C22" i="1"/>
  <c r="J21" i="1"/>
  <c r="G21" i="1"/>
  <c r="C21" i="1"/>
  <c r="J20" i="1"/>
  <c r="G20" i="1"/>
  <c r="C20" i="1"/>
  <c r="J19" i="1"/>
  <c r="G19" i="1"/>
  <c r="C19" i="1"/>
  <c r="J18" i="1"/>
  <c r="G18" i="1"/>
  <c r="C18" i="1"/>
  <c r="G17" i="1"/>
  <c r="C17" i="1"/>
  <c r="J16" i="1"/>
  <c r="G16" i="1"/>
  <c r="C16" i="1"/>
  <c r="J15" i="1"/>
  <c r="G15" i="1"/>
  <c r="C15" i="1"/>
  <c r="G14" i="1"/>
  <c r="C14" i="1"/>
  <c r="G13" i="1"/>
  <c r="C13" i="1"/>
  <c r="C12" i="1"/>
  <c r="C11" i="1"/>
  <c r="C10" i="1"/>
  <c r="C9" i="1"/>
  <c r="C8" i="1"/>
  <c r="C7" i="1"/>
  <c r="J6" i="1"/>
  <c r="C6" i="1"/>
  <c r="J5" i="1"/>
  <c r="C5" i="1"/>
  <c r="C4" i="1"/>
  <c r="C3" i="1"/>
  <c r="C2" i="1"/>
</calcChain>
</file>

<file path=xl/sharedStrings.xml><?xml version="1.0" encoding="utf-8"?>
<sst xmlns="http://schemas.openxmlformats.org/spreadsheetml/2006/main" count="145" uniqueCount="104">
  <si>
    <t>Zootopia 2</t>
  </si>
  <si>
    <t>A</t>
  </si>
  <si>
    <t>Inside Out 2</t>
  </si>
  <si>
    <t>Sing 2</t>
  </si>
  <si>
    <t>408,702,234</t>
  </si>
  <si>
    <t>A+</t>
  </si>
  <si>
    <t>Despicable Me 4</t>
  </si>
  <si>
    <t>Moana 2</t>
  </si>
  <si>
    <t>A-</t>
  </si>
  <si>
    <t>Spider-Man: Across the Spider-Verse</t>
  </si>
  <si>
    <t>690,824,738</t>
  </si>
  <si>
    <t>The Super Mario Bros. Movie</t>
  </si>
  <si>
    <t>1,360,783,214</t>
  </si>
  <si>
    <t>Puss in Boots: The Last Wish</t>
  </si>
  <si>
    <t>480,466,413</t>
  </si>
  <si>
    <t>Elemental</t>
  </si>
  <si>
    <t>496,444,308</t>
  </si>
  <si>
    <t>Teenage Mutant Ninja Turtles: Mutant Mayhem</t>
  </si>
  <si>
    <t>181,935,518</t>
  </si>
  <si>
    <t xml:space="preserve">Wish </t>
  </si>
  <si>
    <t>254,997,360</t>
  </si>
  <si>
    <t>The Bad Guys 2</t>
  </si>
  <si>
    <t>239,676,236</t>
  </si>
  <si>
    <t>Minions: The Rise of Gru</t>
  </si>
  <si>
    <t>940,482,695</t>
  </si>
  <si>
    <t>Kung Fu Panda 4</t>
  </si>
  <si>
    <t>547,946,428</t>
  </si>
  <si>
    <t>The Garfield Movie</t>
  </si>
  <si>
    <t>257,211,519</t>
  </si>
  <si>
    <t>B+</t>
  </si>
  <si>
    <t>The Wild Robot</t>
  </si>
  <si>
    <t>334,509,500</t>
  </si>
  <si>
    <t>Migration</t>
  </si>
  <si>
    <t>300,187,799</t>
  </si>
  <si>
    <t>Trolls Band Together</t>
  </si>
  <si>
    <t>210,231,405</t>
  </si>
  <si>
    <t>Lightyear</t>
  </si>
  <si>
    <t>226,425,420</t>
  </si>
  <si>
    <t>The Boy and the Heron</t>
  </si>
  <si>
    <t>290,149,192</t>
  </si>
  <si>
    <t>Transformers One</t>
  </si>
  <si>
    <t>129,408,392</t>
  </si>
  <si>
    <t>DC League of Super-Pets</t>
  </si>
  <si>
    <t>207,557,117</t>
  </si>
  <si>
    <t>PAW Patrol: The Mighty Movie</t>
  </si>
  <si>
    <t>205,098,869</t>
  </si>
  <si>
    <t>The Bad Guys</t>
  </si>
  <si>
    <t>250,387,888</t>
  </si>
  <si>
    <t>The Day the Earth Blew Up: A Looney Tunes Movie</t>
  </si>
  <si>
    <t>15,489,185</t>
  </si>
  <si>
    <t>The King of Kings</t>
  </si>
  <si>
    <t>83,612,781</t>
  </si>
  <si>
    <t>Strange World</t>
  </si>
  <si>
    <t>73,621,640</t>
  </si>
  <si>
    <t>B</t>
  </si>
  <si>
    <t>Smurfs</t>
  </si>
  <si>
    <t>124,157,356</t>
  </si>
  <si>
    <t xml:space="preserve">Demon Slayer: Kimetsu No Yaiba Infinity Castle </t>
  </si>
  <si>
    <t>742,618,534</t>
  </si>
  <si>
    <t>Elio</t>
  </si>
  <si>
    <t>154,291,182</t>
  </si>
  <si>
    <t xml:space="preserve">The SpongeBob Movie: Search for SquarePants </t>
  </si>
  <si>
    <t>169,269,936</t>
  </si>
  <si>
    <t>Encanto</t>
  </si>
  <si>
    <t>261,292,688</t>
  </si>
  <si>
    <t>Ron's Gone Wrong</t>
  </si>
  <si>
    <t>60,692,022</t>
  </si>
  <si>
    <t>The Bob's Burgers Movie</t>
  </si>
  <si>
    <t>34,148,750</t>
  </si>
  <si>
    <t>The Addams Family 2</t>
  </si>
  <si>
    <t>119,815,153</t>
  </si>
  <si>
    <t>One Piece Film: Red</t>
  </si>
  <si>
    <t>171,315,305</t>
  </si>
  <si>
    <t>Demon Slayer: Kimetsu No Yaiba - To the Hashira Training</t>
  </si>
  <si>
    <t>44,354,825</t>
  </si>
  <si>
    <t>Spy x Family Code: White</t>
  </si>
  <si>
    <t>59,677,662</t>
  </si>
  <si>
    <t>Piece by Piece</t>
  </si>
  <si>
    <t>10,722,792</t>
  </si>
  <si>
    <t xml:space="preserve">The Lord of the Rings: The War of the Rohirrim </t>
  </si>
  <si>
    <t>20,758,572</t>
  </si>
  <si>
    <t>Dog Man</t>
  </si>
  <si>
    <t>146,076,772</t>
  </si>
  <si>
    <t>Chainsaw Man - The Movie: Reze Arc</t>
  </si>
  <si>
    <t>162,699,704</t>
  </si>
  <si>
    <t>Ruby Gillman, Teenage Kraken</t>
  </si>
  <si>
    <t>45,657,745</t>
  </si>
  <si>
    <t>Filme</t>
  </si>
  <si>
    <t>Homens_Pct</t>
  </si>
  <si>
    <t>Mulheres_Pct</t>
  </si>
  <si>
    <t>Baby_Boomers_Pct</t>
  </si>
  <si>
    <t>Gen_X_Pct</t>
  </si>
  <si>
    <t>Gen_Y_Pct</t>
  </si>
  <si>
    <t>Gen_Z_Pct</t>
  </si>
  <si>
    <t>Bilheteria_Mundial_Milhoes</t>
  </si>
  <si>
    <t>Não Frequente</t>
  </si>
  <si>
    <t xml:space="preserve">Frequente </t>
  </si>
  <si>
    <t>CinemaScore</t>
  </si>
  <si>
    <t xml:space="preserve">Tom and Jerry </t>
  </si>
  <si>
    <t>136,536,687</t>
  </si>
  <si>
    <t>Raya and the Last Dragon</t>
  </si>
  <si>
    <t>130,423,032</t>
  </si>
  <si>
    <t>The Boss Baby 2: Family Business</t>
  </si>
  <si>
    <t>146,745,280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</si>
</sst>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  <font>
      <sz val="11"/>
      <color theme="1"/>
      <name val="Google Sans Tex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0" fontId="1" fillId="0" borderId="0" xfId="0" applyFont="1"/>
    <xf numFmtId="0" fontId="4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15" workbookViewId="0">
      <selection activeCell="B13" sqref="B13"/>
    </sheetView>
  </sheetViews>
  <sheetFormatPr defaultRowHeight="15"/>
  <cols>
    <col min="1" max="1" width="50.42578125" bestFit="1" customWidth="1"/>
    <col min="2" max="2" width="11.28515625" bestFit="1" customWidth="1"/>
    <col min="3" max="3" width="12.140625" bestFit="1" customWidth="1"/>
    <col min="4" max="4" width="17" bestFit="1" customWidth="1"/>
    <col min="5" max="5" width="9.5703125" bestFit="1" customWidth="1"/>
    <col min="6" max="7" width="9.42578125" bestFit="1" customWidth="1"/>
    <col min="8" max="8" width="24.85546875" bestFit="1" customWidth="1"/>
    <col min="9" max="9" width="13.42578125" bestFit="1" customWidth="1"/>
    <col min="10" max="10" width="9.5703125" bestFit="1" customWidth="1"/>
    <col min="11" max="11" width="13.42578125" bestFit="1" customWidth="1"/>
  </cols>
  <sheetData>
    <row r="1" spans="1:11" ht="15.75" thickBot="1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12" t="s">
        <v>97</v>
      </c>
    </row>
    <row r="2" spans="1:11" ht="15.75" thickBot="1">
      <c r="A2" s="1" t="s">
        <v>0</v>
      </c>
      <c r="B2" s="2">
        <v>43</v>
      </c>
      <c r="C2" s="2">
        <f>100-B2</f>
        <v>57</v>
      </c>
      <c r="D2" s="2">
        <v>5</v>
      </c>
      <c r="E2" s="2">
        <v>21</v>
      </c>
      <c r="F2" s="2">
        <v>53</v>
      </c>
      <c r="G2" s="2">
        <v>21</v>
      </c>
      <c r="H2" s="3">
        <v>1866647950</v>
      </c>
      <c r="I2" s="4">
        <v>83</v>
      </c>
      <c r="J2" s="4">
        <v>17</v>
      </c>
      <c r="K2" s="5" t="s">
        <v>1</v>
      </c>
    </row>
    <row r="3" spans="1:11" ht="15.75" thickBot="1">
      <c r="A3" s="1" t="s">
        <v>2</v>
      </c>
      <c r="B3" s="2">
        <v>41</v>
      </c>
      <c r="C3" s="2">
        <f>100-B3</f>
        <v>59</v>
      </c>
      <c r="D3" s="2">
        <v>3</v>
      </c>
      <c r="E3" s="2">
        <v>19</v>
      </c>
      <c r="F3" s="2">
        <v>49</v>
      </c>
      <c r="G3" s="2">
        <v>29</v>
      </c>
      <c r="H3" s="3">
        <v>1698863816</v>
      </c>
      <c r="I3" s="2">
        <v>91</v>
      </c>
      <c r="J3" s="2">
        <v>9</v>
      </c>
      <c r="K3" s="5" t="s">
        <v>1</v>
      </c>
    </row>
    <row r="4" spans="1:11" ht="15.75" thickBot="1">
      <c r="A4" s="6" t="s">
        <v>3</v>
      </c>
      <c r="B4" s="4">
        <v>39</v>
      </c>
      <c r="C4" s="2">
        <f>100-B4</f>
        <v>61</v>
      </c>
      <c r="D4" s="4">
        <v>4</v>
      </c>
      <c r="E4" s="4">
        <v>18</v>
      </c>
      <c r="F4" s="4">
        <v>57</v>
      </c>
      <c r="G4" s="2">
        <v>29</v>
      </c>
      <c r="H4" s="7" t="s">
        <v>4</v>
      </c>
      <c r="I4" s="4">
        <v>82</v>
      </c>
      <c r="J4" s="4">
        <v>18</v>
      </c>
      <c r="K4" s="5" t="s">
        <v>5</v>
      </c>
    </row>
    <row r="5" spans="1:11" ht="15.75" thickBot="1">
      <c r="A5" s="1" t="s">
        <v>6</v>
      </c>
      <c r="B5" s="2">
        <v>45</v>
      </c>
      <c r="C5" s="2">
        <f>100-B5</f>
        <v>55</v>
      </c>
      <c r="D5" s="2">
        <v>6</v>
      </c>
      <c r="E5" s="2">
        <v>22</v>
      </c>
      <c r="F5" s="2">
        <v>46</v>
      </c>
      <c r="G5" s="2">
        <v>26</v>
      </c>
      <c r="H5" s="3">
        <v>972021410</v>
      </c>
      <c r="I5" s="2">
        <v>85</v>
      </c>
      <c r="J5" s="2">
        <f>100-I5</f>
        <v>15</v>
      </c>
      <c r="K5" s="5" t="s">
        <v>1</v>
      </c>
    </row>
    <row r="6" spans="1:11" ht="15.75" thickBot="1">
      <c r="A6" s="8" t="s">
        <v>7</v>
      </c>
      <c r="B6" s="2">
        <v>60</v>
      </c>
      <c r="C6" s="2">
        <f>100-B6</f>
        <v>40</v>
      </c>
      <c r="D6" s="2">
        <v>4</v>
      </c>
      <c r="E6" s="2">
        <v>19</v>
      </c>
      <c r="F6" s="2">
        <v>54</v>
      </c>
      <c r="G6" s="2">
        <v>23</v>
      </c>
      <c r="H6" s="2">
        <v>1059242164</v>
      </c>
      <c r="I6" s="2">
        <v>86</v>
      </c>
      <c r="J6" s="2">
        <f>100-I6</f>
        <v>14</v>
      </c>
      <c r="K6" s="5" t="s">
        <v>8</v>
      </c>
    </row>
    <row r="7" spans="1:11" ht="15.75" thickBot="1">
      <c r="A7" s="1" t="s">
        <v>11</v>
      </c>
      <c r="B7" s="2">
        <v>52</v>
      </c>
      <c r="C7" s="2">
        <f t="shared" ref="C7:C47" si="0">100-B7</f>
        <v>48</v>
      </c>
      <c r="D7" s="2">
        <v>2</v>
      </c>
      <c r="E7" s="2">
        <v>13</v>
      </c>
      <c r="F7" s="2">
        <v>58</v>
      </c>
      <c r="G7" s="2">
        <v>28</v>
      </c>
      <c r="H7" s="2" t="s">
        <v>12</v>
      </c>
      <c r="I7" s="2">
        <v>13</v>
      </c>
      <c r="J7" s="4">
        <v>87</v>
      </c>
      <c r="K7" s="5" t="s">
        <v>1</v>
      </c>
    </row>
    <row r="8" spans="1:11" ht="15.75" thickBot="1">
      <c r="A8" s="1" t="s">
        <v>13</v>
      </c>
      <c r="B8" s="2">
        <v>48</v>
      </c>
      <c r="C8" s="2">
        <f t="shared" si="0"/>
        <v>52</v>
      </c>
      <c r="D8" s="2">
        <v>9</v>
      </c>
      <c r="E8" s="2">
        <v>22</v>
      </c>
      <c r="F8" s="2">
        <v>45</v>
      </c>
      <c r="G8" s="2">
        <v>25</v>
      </c>
      <c r="H8" s="2" t="s">
        <v>14</v>
      </c>
      <c r="I8" s="2">
        <v>73</v>
      </c>
      <c r="J8" s="4">
        <v>27</v>
      </c>
      <c r="K8" s="5" t="s">
        <v>1</v>
      </c>
    </row>
    <row r="9" spans="1:11" ht="15.75" thickBot="1">
      <c r="A9" s="1" t="s">
        <v>15</v>
      </c>
      <c r="B9" s="2">
        <v>44</v>
      </c>
      <c r="C9" s="2">
        <f t="shared" si="0"/>
        <v>56</v>
      </c>
      <c r="D9" s="2">
        <v>5</v>
      </c>
      <c r="E9" s="2">
        <v>18</v>
      </c>
      <c r="F9" s="2">
        <v>56</v>
      </c>
      <c r="G9" s="2">
        <v>21</v>
      </c>
      <c r="H9" s="2" t="s">
        <v>16</v>
      </c>
      <c r="I9" s="2">
        <v>76</v>
      </c>
      <c r="J9" s="4">
        <v>24</v>
      </c>
      <c r="K9" s="5" t="s">
        <v>1</v>
      </c>
    </row>
    <row r="10" spans="1:11" ht="15.75" thickBot="1">
      <c r="A10" s="1" t="s">
        <v>17</v>
      </c>
      <c r="B10" s="2">
        <v>57</v>
      </c>
      <c r="C10" s="2">
        <f t="shared" si="0"/>
        <v>43</v>
      </c>
      <c r="D10" s="2">
        <v>4</v>
      </c>
      <c r="E10" s="2">
        <v>15</v>
      </c>
      <c r="F10" s="2">
        <v>55</v>
      </c>
      <c r="G10" s="2">
        <v>26</v>
      </c>
      <c r="H10" s="2" t="s">
        <v>18</v>
      </c>
      <c r="I10" s="2">
        <v>67</v>
      </c>
      <c r="J10" s="4">
        <v>33</v>
      </c>
      <c r="K10" s="5" t="s">
        <v>1</v>
      </c>
    </row>
    <row r="11" spans="1:11" ht="15.75" thickBot="1">
      <c r="A11" s="1" t="s">
        <v>19</v>
      </c>
      <c r="B11" s="2">
        <v>41</v>
      </c>
      <c r="C11" s="2">
        <f t="shared" si="0"/>
        <v>59</v>
      </c>
      <c r="D11" s="2">
        <v>9</v>
      </c>
      <c r="E11" s="2">
        <v>24</v>
      </c>
      <c r="F11" s="2">
        <v>56</v>
      </c>
      <c r="G11" s="2">
        <v>11</v>
      </c>
      <c r="H11" s="2" t="s">
        <v>20</v>
      </c>
      <c r="I11" s="2">
        <v>74</v>
      </c>
      <c r="J11" s="4">
        <v>26</v>
      </c>
      <c r="K11" s="5" t="s">
        <v>8</v>
      </c>
    </row>
    <row r="12" spans="1:11" ht="15.75" thickBot="1">
      <c r="A12" s="1" t="s">
        <v>21</v>
      </c>
      <c r="B12" s="2">
        <v>46</v>
      </c>
      <c r="C12" s="2">
        <f t="shared" si="0"/>
        <v>54</v>
      </c>
      <c r="D12" s="2">
        <v>8</v>
      </c>
      <c r="E12" s="2">
        <v>24</v>
      </c>
      <c r="F12" s="2">
        <v>53</v>
      </c>
      <c r="G12" s="2">
        <v>16</v>
      </c>
      <c r="H12" s="2" t="s">
        <v>22</v>
      </c>
      <c r="I12" s="2">
        <v>69</v>
      </c>
      <c r="J12" s="4">
        <v>31</v>
      </c>
      <c r="K12" s="5" t="s">
        <v>1</v>
      </c>
    </row>
    <row r="13" spans="1:11">
      <c r="A13" s="9" t="s">
        <v>23</v>
      </c>
      <c r="B13" s="4">
        <v>45</v>
      </c>
      <c r="C13" s="2">
        <f t="shared" si="0"/>
        <v>55</v>
      </c>
      <c r="D13" s="4">
        <v>4</v>
      </c>
      <c r="E13" s="4">
        <v>19</v>
      </c>
      <c r="F13" s="4">
        <v>37</v>
      </c>
      <c r="G13" s="10">
        <f t="shared" ref="G13:G47" si="1">100-D13-E13-F13</f>
        <v>40</v>
      </c>
      <c r="H13" s="10" t="s">
        <v>24</v>
      </c>
      <c r="I13" s="4">
        <v>84</v>
      </c>
      <c r="J13" s="4">
        <v>16</v>
      </c>
      <c r="K13" s="9" t="s">
        <v>1</v>
      </c>
    </row>
    <row r="14" spans="1:11">
      <c r="A14" s="9" t="s">
        <v>25</v>
      </c>
      <c r="B14" s="4">
        <v>54</v>
      </c>
      <c r="C14" s="2">
        <f t="shared" si="0"/>
        <v>46</v>
      </c>
      <c r="D14" s="4">
        <v>4</v>
      </c>
      <c r="E14" s="4">
        <v>17</v>
      </c>
      <c r="F14" s="4">
        <v>45</v>
      </c>
      <c r="G14" s="10">
        <f t="shared" si="1"/>
        <v>34</v>
      </c>
      <c r="H14" s="10" t="s">
        <v>26</v>
      </c>
      <c r="I14" s="4">
        <v>83</v>
      </c>
      <c r="J14" s="4">
        <v>17</v>
      </c>
      <c r="K14" s="9" t="s">
        <v>8</v>
      </c>
    </row>
    <row r="15" spans="1:11">
      <c r="A15" s="9" t="s">
        <v>27</v>
      </c>
      <c r="B15" s="4">
        <v>55</v>
      </c>
      <c r="C15" s="2">
        <f t="shared" si="0"/>
        <v>45</v>
      </c>
      <c r="D15" s="4">
        <v>6</v>
      </c>
      <c r="E15" s="4">
        <v>20</v>
      </c>
      <c r="F15" s="4">
        <v>49</v>
      </c>
      <c r="G15" s="10">
        <f t="shared" si="1"/>
        <v>25</v>
      </c>
      <c r="H15" s="10" t="s">
        <v>28</v>
      </c>
      <c r="I15" s="4">
        <v>78</v>
      </c>
      <c r="J15" s="10">
        <f>100-I15</f>
        <v>22</v>
      </c>
      <c r="K15" s="9" t="s">
        <v>29</v>
      </c>
    </row>
    <row r="16" spans="1:11">
      <c r="A16" s="9" t="s">
        <v>30</v>
      </c>
      <c r="B16" s="4">
        <v>51</v>
      </c>
      <c r="C16" s="2">
        <f t="shared" si="0"/>
        <v>49</v>
      </c>
      <c r="D16" s="4">
        <v>9</v>
      </c>
      <c r="E16" s="4">
        <v>22</v>
      </c>
      <c r="F16" s="4">
        <v>51</v>
      </c>
      <c r="G16" s="10">
        <f t="shared" si="1"/>
        <v>18</v>
      </c>
      <c r="H16" s="10" t="s">
        <v>31</v>
      </c>
      <c r="I16" s="4">
        <v>70</v>
      </c>
      <c r="J16" s="10">
        <f>100-I16</f>
        <v>30</v>
      </c>
      <c r="K16" s="9" t="s">
        <v>1</v>
      </c>
    </row>
    <row r="17" spans="1:11">
      <c r="A17" s="9" t="s">
        <v>32</v>
      </c>
      <c r="B17" s="4">
        <v>47</v>
      </c>
      <c r="C17" s="2">
        <f t="shared" si="0"/>
        <v>53</v>
      </c>
      <c r="D17" s="4">
        <v>11</v>
      </c>
      <c r="E17" s="4">
        <v>24</v>
      </c>
      <c r="F17" s="4">
        <v>52</v>
      </c>
      <c r="G17" s="10">
        <f t="shared" si="1"/>
        <v>13</v>
      </c>
      <c r="H17" s="10" t="s">
        <v>33</v>
      </c>
      <c r="I17" s="4">
        <v>71</v>
      </c>
      <c r="J17" s="4">
        <v>29</v>
      </c>
      <c r="K17" s="9" t="s">
        <v>1</v>
      </c>
    </row>
    <row r="18" spans="1:11">
      <c r="A18" s="9" t="s">
        <v>34</v>
      </c>
      <c r="B18" s="4">
        <v>36</v>
      </c>
      <c r="C18" s="2">
        <f t="shared" si="0"/>
        <v>64</v>
      </c>
      <c r="D18" s="4">
        <v>4</v>
      </c>
      <c r="E18" s="4">
        <v>16</v>
      </c>
      <c r="F18" s="4">
        <v>66</v>
      </c>
      <c r="G18" s="10">
        <f t="shared" si="1"/>
        <v>14</v>
      </c>
      <c r="H18" s="10" t="s">
        <v>35</v>
      </c>
      <c r="I18" s="4">
        <v>80</v>
      </c>
      <c r="J18" s="10">
        <f t="shared" ref="J18:J33" si="2">100-I18</f>
        <v>20</v>
      </c>
      <c r="K18" s="9" t="s">
        <v>1</v>
      </c>
    </row>
    <row r="19" spans="1:11">
      <c r="A19" s="9" t="s">
        <v>36</v>
      </c>
      <c r="B19" s="4">
        <v>48</v>
      </c>
      <c r="C19" s="2">
        <f t="shared" si="0"/>
        <v>52</v>
      </c>
      <c r="D19" s="4">
        <v>5</v>
      </c>
      <c r="E19" s="4">
        <v>18</v>
      </c>
      <c r="F19" s="4">
        <v>51</v>
      </c>
      <c r="G19" s="10">
        <f t="shared" si="1"/>
        <v>26</v>
      </c>
      <c r="H19" s="10" t="s">
        <v>37</v>
      </c>
      <c r="I19" s="4">
        <v>73</v>
      </c>
      <c r="J19" s="10">
        <f t="shared" si="2"/>
        <v>27</v>
      </c>
      <c r="K19" s="9" t="s">
        <v>8</v>
      </c>
    </row>
    <row r="20" spans="1:11">
      <c r="A20" s="9" t="s">
        <v>38</v>
      </c>
      <c r="B20" s="4">
        <v>61</v>
      </c>
      <c r="C20" s="2">
        <f t="shared" si="0"/>
        <v>39</v>
      </c>
      <c r="D20" s="4">
        <v>2</v>
      </c>
      <c r="E20" s="4">
        <v>11</v>
      </c>
      <c r="F20" s="4">
        <v>54</v>
      </c>
      <c r="G20" s="10">
        <f t="shared" si="1"/>
        <v>33</v>
      </c>
      <c r="H20" s="10" t="s">
        <v>39</v>
      </c>
      <c r="I20" s="4">
        <v>72</v>
      </c>
      <c r="J20" s="10">
        <f t="shared" si="2"/>
        <v>28</v>
      </c>
      <c r="K20" s="9" t="s">
        <v>8</v>
      </c>
    </row>
    <row r="21" spans="1:11">
      <c r="A21" s="9" t="s">
        <v>40</v>
      </c>
      <c r="B21" s="4">
        <v>64</v>
      </c>
      <c r="C21" s="2">
        <f t="shared" si="0"/>
        <v>36</v>
      </c>
      <c r="D21" s="4">
        <v>5</v>
      </c>
      <c r="E21" s="4">
        <v>23</v>
      </c>
      <c r="F21" s="4">
        <v>45</v>
      </c>
      <c r="G21" s="10">
        <f t="shared" si="1"/>
        <v>27</v>
      </c>
      <c r="H21" s="10" t="s">
        <v>41</v>
      </c>
      <c r="I21" s="4">
        <v>66</v>
      </c>
      <c r="J21" s="10">
        <f t="shared" si="2"/>
        <v>34</v>
      </c>
      <c r="K21" s="9" t="s">
        <v>1</v>
      </c>
    </row>
    <row r="22" spans="1:11">
      <c r="A22" s="9" t="s">
        <v>42</v>
      </c>
      <c r="B22" s="4">
        <v>57</v>
      </c>
      <c r="C22" s="2">
        <f t="shared" si="0"/>
        <v>43</v>
      </c>
      <c r="D22" s="4">
        <v>9</v>
      </c>
      <c r="E22" s="4">
        <v>22</v>
      </c>
      <c r="F22" s="4">
        <v>50</v>
      </c>
      <c r="G22" s="10">
        <f t="shared" si="1"/>
        <v>19</v>
      </c>
      <c r="H22" s="10" t="s">
        <v>43</v>
      </c>
      <c r="I22" s="4">
        <v>67</v>
      </c>
      <c r="J22" s="10">
        <f t="shared" si="2"/>
        <v>33</v>
      </c>
      <c r="K22" s="9" t="s">
        <v>8</v>
      </c>
    </row>
    <row r="23" spans="1:11">
      <c r="A23" s="9" t="s">
        <v>44</v>
      </c>
      <c r="B23" s="4">
        <v>39</v>
      </c>
      <c r="C23" s="2">
        <f t="shared" si="0"/>
        <v>61</v>
      </c>
      <c r="D23" s="4">
        <v>5</v>
      </c>
      <c r="E23" s="4">
        <v>14</v>
      </c>
      <c r="F23" s="4">
        <v>71</v>
      </c>
      <c r="G23" s="10">
        <f t="shared" si="1"/>
        <v>10</v>
      </c>
      <c r="H23" s="10" t="s">
        <v>45</v>
      </c>
      <c r="I23" s="4">
        <v>81</v>
      </c>
      <c r="J23" s="10">
        <f t="shared" si="2"/>
        <v>19</v>
      </c>
      <c r="K23" s="9" t="s">
        <v>1</v>
      </c>
    </row>
    <row r="24" spans="1:11">
      <c r="A24" s="9" t="s">
        <v>46</v>
      </c>
      <c r="B24" s="4">
        <v>41</v>
      </c>
      <c r="C24" s="2">
        <f t="shared" si="0"/>
        <v>59</v>
      </c>
      <c r="D24" s="4">
        <v>6</v>
      </c>
      <c r="E24" s="4">
        <v>20</v>
      </c>
      <c r="F24" s="4">
        <v>57</v>
      </c>
      <c r="G24" s="10">
        <f t="shared" si="1"/>
        <v>17</v>
      </c>
      <c r="H24" s="10" t="s">
        <v>47</v>
      </c>
      <c r="I24" s="4">
        <v>77</v>
      </c>
      <c r="J24" s="10">
        <f t="shared" si="2"/>
        <v>23</v>
      </c>
      <c r="K24" s="9" t="s">
        <v>1</v>
      </c>
    </row>
    <row r="25" spans="1:11">
      <c r="A25" s="9" t="s">
        <v>48</v>
      </c>
      <c r="B25" s="4">
        <v>59</v>
      </c>
      <c r="C25" s="2">
        <f t="shared" si="0"/>
        <v>41</v>
      </c>
      <c r="D25" s="4">
        <v>9</v>
      </c>
      <c r="E25" s="4">
        <v>20</v>
      </c>
      <c r="F25" s="4">
        <v>47</v>
      </c>
      <c r="G25" s="10">
        <f t="shared" si="1"/>
        <v>24</v>
      </c>
      <c r="H25" s="10" t="s">
        <v>49</v>
      </c>
      <c r="I25" s="4">
        <v>61</v>
      </c>
      <c r="J25" s="10">
        <f t="shared" si="2"/>
        <v>39</v>
      </c>
      <c r="K25" s="9" t="s">
        <v>29</v>
      </c>
    </row>
    <row r="26" spans="1:11">
      <c r="A26" s="9" t="s">
        <v>50</v>
      </c>
      <c r="B26" s="4">
        <v>42</v>
      </c>
      <c r="C26" s="2">
        <f t="shared" si="0"/>
        <v>58</v>
      </c>
      <c r="D26" s="4">
        <v>14</v>
      </c>
      <c r="E26" s="4">
        <v>30</v>
      </c>
      <c r="F26" s="4">
        <v>49</v>
      </c>
      <c r="G26" s="10">
        <f t="shared" si="1"/>
        <v>7</v>
      </c>
      <c r="H26" s="10" t="s">
        <v>51</v>
      </c>
      <c r="I26" s="4">
        <v>82</v>
      </c>
      <c r="J26" s="10">
        <f t="shared" si="2"/>
        <v>18</v>
      </c>
      <c r="K26" s="9" t="s">
        <v>5</v>
      </c>
    </row>
    <row r="27" spans="1:11">
      <c r="A27" s="9" t="s">
        <v>52</v>
      </c>
      <c r="B27" s="4">
        <v>47</v>
      </c>
      <c r="C27" s="2">
        <f t="shared" si="0"/>
        <v>53</v>
      </c>
      <c r="D27" s="4">
        <v>9</v>
      </c>
      <c r="E27" s="4">
        <v>23</v>
      </c>
      <c r="F27" s="4">
        <v>53</v>
      </c>
      <c r="G27" s="10">
        <f t="shared" si="1"/>
        <v>15</v>
      </c>
      <c r="H27" s="10" t="s">
        <v>53</v>
      </c>
      <c r="I27" s="4">
        <v>71</v>
      </c>
      <c r="J27" s="10">
        <f t="shared" si="2"/>
        <v>29</v>
      </c>
      <c r="K27" s="9" t="s">
        <v>54</v>
      </c>
    </row>
    <row r="28" spans="1:11">
      <c r="A28" s="9" t="s">
        <v>55</v>
      </c>
      <c r="B28" s="4">
        <v>40</v>
      </c>
      <c r="C28" s="2">
        <f t="shared" si="0"/>
        <v>60</v>
      </c>
      <c r="D28" s="4">
        <v>8</v>
      </c>
      <c r="E28" s="4">
        <v>26</v>
      </c>
      <c r="F28" s="4">
        <v>49</v>
      </c>
      <c r="G28" s="10">
        <f t="shared" si="1"/>
        <v>17</v>
      </c>
      <c r="H28" s="10" t="s">
        <v>56</v>
      </c>
      <c r="I28" s="4">
        <v>71</v>
      </c>
      <c r="J28" s="10">
        <f t="shared" si="2"/>
        <v>29</v>
      </c>
      <c r="K28" s="9" t="s">
        <v>29</v>
      </c>
    </row>
    <row r="29" spans="1:11">
      <c r="A29" s="9" t="s">
        <v>57</v>
      </c>
      <c r="B29" s="4">
        <v>63</v>
      </c>
      <c r="C29" s="2">
        <f t="shared" si="0"/>
        <v>37</v>
      </c>
      <c r="D29" s="4">
        <v>1</v>
      </c>
      <c r="E29" s="4">
        <v>9</v>
      </c>
      <c r="F29" s="4">
        <v>51</v>
      </c>
      <c r="G29" s="10">
        <f t="shared" si="1"/>
        <v>39</v>
      </c>
      <c r="H29" s="10" t="s">
        <v>58</v>
      </c>
      <c r="I29" s="4">
        <v>84</v>
      </c>
      <c r="J29" s="10">
        <f t="shared" si="2"/>
        <v>16</v>
      </c>
      <c r="K29" s="9" t="s">
        <v>1</v>
      </c>
    </row>
    <row r="30" spans="1:11">
      <c r="A30" s="9" t="s">
        <v>59</v>
      </c>
      <c r="B30" s="4">
        <v>47</v>
      </c>
      <c r="C30" s="2">
        <f t="shared" si="0"/>
        <v>53</v>
      </c>
      <c r="D30" s="4">
        <v>8</v>
      </c>
      <c r="E30" s="4">
        <v>22</v>
      </c>
      <c r="F30" s="4">
        <v>56</v>
      </c>
      <c r="G30" s="10">
        <f t="shared" si="1"/>
        <v>14</v>
      </c>
      <c r="H30" s="10" t="s">
        <v>60</v>
      </c>
      <c r="I30" s="4">
        <v>73</v>
      </c>
      <c r="J30" s="10">
        <f t="shared" si="2"/>
        <v>27</v>
      </c>
      <c r="K30" s="9" t="s">
        <v>1</v>
      </c>
    </row>
    <row r="31" spans="1:11">
      <c r="A31" s="9" t="s">
        <v>61</v>
      </c>
      <c r="B31" s="4">
        <v>48</v>
      </c>
      <c r="C31" s="2">
        <f t="shared" si="0"/>
        <v>52</v>
      </c>
      <c r="D31" s="4">
        <v>5</v>
      </c>
      <c r="E31" s="4">
        <v>19</v>
      </c>
      <c r="F31" s="4">
        <v>51</v>
      </c>
      <c r="G31" s="10">
        <f t="shared" si="1"/>
        <v>25</v>
      </c>
      <c r="H31" s="10" t="s">
        <v>62</v>
      </c>
      <c r="I31" s="4">
        <v>74</v>
      </c>
      <c r="J31" s="10">
        <f t="shared" si="2"/>
        <v>26</v>
      </c>
      <c r="K31" s="9" t="s">
        <v>8</v>
      </c>
    </row>
    <row r="32" spans="1:11">
      <c r="A32" s="9" t="s">
        <v>63</v>
      </c>
      <c r="B32" s="4">
        <v>42</v>
      </c>
      <c r="C32" s="2">
        <f t="shared" si="0"/>
        <v>58</v>
      </c>
      <c r="D32" s="4">
        <v>5</v>
      </c>
      <c r="E32" s="4">
        <v>18</v>
      </c>
      <c r="F32" s="4">
        <v>53</v>
      </c>
      <c r="G32" s="10">
        <f t="shared" si="1"/>
        <v>24</v>
      </c>
      <c r="H32" s="10" t="s">
        <v>64</v>
      </c>
      <c r="I32" s="4">
        <v>80</v>
      </c>
      <c r="J32" s="10">
        <f t="shared" si="2"/>
        <v>20</v>
      </c>
      <c r="K32" s="9" t="s">
        <v>1</v>
      </c>
    </row>
    <row r="33" spans="1:11">
      <c r="A33" s="9" t="s">
        <v>65</v>
      </c>
      <c r="B33" s="4">
        <v>46</v>
      </c>
      <c r="C33" s="2">
        <f t="shared" si="0"/>
        <v>54</v>
      </c>
      <c r="D33" s="4">
        <v>5</v>
      </c>
      <c r="E33" s="4">
        <v>18</v>
      </c>
      <c r="F33" s="4">
        <v>56</v>
      </c>
      <c r="G33" s="10">
        <f t="shared" si="1"/>
        <v>21</v>
      </c>
      <c r="H33" s="10" t="s">
        <v>66</v>
      </c>
      <c r="I33" s="4">
        <v>74</v>
      </c>
      <c r="J33" s="10">
        <f t="shared" si="2"/>
        <v>26</v>
      </c>
      <c r="K33" s="9" t="s">
        <v>1</v>
      </c>
    </row>
    <row r="34" spans="1:11">
      <c r="A34" s="9" t="s">
        <v>67</v>
      </c>
      <c r="B34" s="4">
        <v>46</v>
      </c>
      <c r="C34" s="2">
        <f t="shared" si="0"/>
        <v>54</v>
      </c>
      <c r="D34" s="4">
        <v>2</v>
      </c>
      <c r="E34" s="4">
        <v>13</v>
      </c>
      <c r="F34" s="4">
        <v>49</v>
      </c>
      <c r="G34" s="10">
        <f t="shared" si="1"/>
        <v>36</v>
      </c>
      <c r="H34" s="10" t="s">
        <v>68</v>
      </c>
      <c r="I34" s="4">
        <v>77</v>
      </c>
      <c r="J34" s="4">
        <v>23</v>
      </c>
      <c r="K34" s="9" t="s">
        <v>1</v>
      </c>
    </row>
    <row r="35" spans="1:11">
      <c r="A35" s="9" t="s">
        <v>69</v>
      </c>
      <c r="B35" s="4">
        <v>38</v>
      </c>
      <c r="C35" s="2">
        <f t="shared" si="0"/>
        <v>62</v>
      </c>
      <c r="D35" s="4">
        <v>5</v>
      </c>
      <c r="E35" s="4">
        <v>18</v>
      </c>
      <c r="F35" s="4">
        <v>59</v>
      </c>
      <c r="G35" s="10">
        <f t="shared" si="1"/>
        <v>18</v>
      </c>
      <c r="H35" s="10" t="s">
        <v>70</v>
      </c>
      <c r="I35" s="4">
        <v>84</v>
      </c>
      <c r="J35" s="10">
        <f t="shared" ref="J35:J44" si="3">100-I35</f>
        <v>16</v>
      </c>
      <c r="K35" s="9" t="s">
        <v>54</v>
      </c>
    </row>
    <row r="36" spans="1:11">
      <c r="A36" s="15" t="s">
        <v>71</v>
      </c>
      <c r="B36" s="4">
        <v>75</v>
      </c>
      <c r="C36" s="2">
        <f t="shared" si="0"/>
        <v>25</v>
      </c>
      <c r="D36" s="4">
        <v>1</v>
      </c>
      <c r="E36" s="4">
        <v>6</v>
      </c>
      <c r="F36" s="4">
        <v>42</v>
      </c>
      <c r="G36" s="10">
        <f t="shared" si="1"/>
        <v>51</v>
      </c>
      <c r="H36" s="10" t="s">
        <v>72</v>
      </c>
      <c r="I36" s="4">
        <v>80</v>
      </c>
      <c r="J36" s="10">
        <f t="shared" si="3"/>
        <v>20</v>
      </c>
      <c r="K36" s="15" t="s">
        <v>1</v>
      </c>
    </row>
    <row r="37" spans="1:11">
      <c r="A37" s="11" t="s">
        <v>9</v>
      </c>
      <c r="B37" s="4">
        <v>64</v>
      </c>
      <c r="C37" s="2">
        <f t="shared" si="0"/>
        <v>36</v>
      </c>
      <c r="D37" s="4">
        <v>1</v>
      </c>
      <c r="E37" s="4">
        <v>14</v>
      </c>
      <c r="F37" s="4">
        <v>37</v>
      </c>
      <c r="G37" s="10">
        <f t="shared" si="1"/>
        <v>48</v>
      </c>
      <c r="H37" s="10" t="s">
        <v>10</v>
      </c>
      <c r="I37" s="4">
        <v>80</v>
      </c>
      <c r="J37" s="10">
        <f t="shared" si="3"/>
        <v>20</v>
      </c>
      <c r="K37" s="15" t="s">
        <v>1</v>
      </c>
    </row>
    <row r="38" spans="1:11">
      <c r="A38" s="11" t="s">
        <v>73</v>
      </c>
      <c r="B38" s="4">
        <v>65</v>
      </c>
      <c r="C38" s="2">
        <f t="shared" si="0"/>
        <v>35</v>
      </c>
      <c r="D38" s="4">
        <v>1</v>
      </c>
      <c r="E38" s="4">
        <v>8</v>
      </c>
      <c r="F38" s="4">
        <v>55</v>
      </c>
      <c r="G38" s="10">
        <f t="shared" si="1"/>
        <v>36</v>
      </c>
      <c r="H38" s="10" t="s">
        <v>74</v>
      </c>
      <c r="I38" s="4">
        <v>87</v>
      </c>
      <c r="J38" s="10">
        <f t="shared" si="3"/>
        <v>13</v>
      </c>
      <c r="K38" s="15" t="s">
        <v>29</v>
      </c>
    </row>
    <row r="39" spans="1:11">
      <c r="A39" s="11" t="s">
        <v>75</v>
      </c>
      <c r="B39" s="4">
        <v>58</v>
      </c>
      <c r="C39" s="2">
        <f t="shared" si="0"/>
        <v>42</v>
      </c>
      <c r="D39" s="4">
        <v>2</v>
      </c>
      <c r="E39" s="4">
        <v>10</v>
      </c>
      <c r="F39" s="4">
        <v>56</v>
      </c>
      <c r="G39" s="10">
        <f t="shared" si="1"/>
        <v>32</v>
      </c>
      <c r="H39" s="10" t="s">
        <v>76</v>
      </c>
      <c r="I39" s="4">
        <v>81</v>
      </c>
      <c r="J39" s="10">
        <f t="shared" si="3"/>
        <v>19</v>
      </c>
      <c r="K39" s="15" t="s">
        <v>1</v>
      </c>
    </row>
    <row r="40" spans="1:11">
      <c r="A40" s="11" t="s">
        <v>77</v>
      </c>
      <c r="B40" s="4">
        <v>59</v>
      </c>
      <c r="C40" s="2">
        <f t="shared" si="0"/>
        <v>41</v>
      </c>
      <c r="D40" s="4">
        <v>4</v>
      </c>
      <c r="E40" s="4">
        <v>19</v>
      </c>
      <c r="F40" s="4">
        <v>33</v>
      </c>
      <c r="G40" s="10">
        <f t="shared" si="1"/>
        <v>44</v>
      </c>
      <c r="H40" s="10" t="s">
        <v>78</v>
      </c>
      <c r="I40" s="4">
        <v>67</v>
      </c>
      <c r="J40" s="10">
        <f t="shared" si="3"/>
        <v>33</v>
      </c>
      <c r="K40" s="15" t="s">
        <v>1</v>
      </c>
    </row>
    <row r="41" spans="1:11">
      <c r="A41" s="11" t="s">
        <v>79</v>
      </c>
      <c r="B41" s="4">
        <v>69</v>
      </c>
      <c r="C41" s="2">
        <f t="shared" si="0"/>
        <v>31</v>
      </c>
      <c r="D41" s="4">
        <v>5</v>
      </c>
      <c r="E41" s="4">
        <v>19</v>
      </c>
      <c r="F41" s="4">
        <v>59</v>
      </c>
      <c r="G41" s="10">
        <f t="shared" si="1"/>
        <v>17</v>
      </c>
      <c r="H41" s="10" t="s">
        <v>80</v>
      </c>
      <c r="I41" s="4">
        <v>66</v>
      </c>
      <c r="J41" s="10">
        <f t="shared" si="3"/>
        <v>34</v>
      </c>
      <c r="K41" s="15" t="s">
        <v>54</v>
      </c>
    </row>
    <row r="42" spans="1:11">
      <c r="A42" s="11" t="s">
        <v>81</v>
      </c>
      <c r="B42" s="4">
        <v>48</v>
      </c>
      <c r="C42" s="2">
        <f t="shared" si="0"/>
        <v>52</v>
      </c>
      <c r="D42" s="4">
        <v>5</v>
      </c>
      <c r="E42" s="4">
        <v>21</v>
      </c>
      <c r="F42" s="4">
        <v>58</v>
      </c>
      <c r="G42" s="10">
        <f t="shared" si="1"/>
        <v>16</v>
      </c>
      <c r="H42" s="10" t="s">
        <v>82</v>
      </c>
      <c r="I42" s="4">
        <v>79</v>
      </c>
      <c r="J42" s="10">
        <f t="shared" si="3"/>
        <v>21</v>
      </c>
      <c r="K42" s="15" t="s">
        <v>1</v>
      </c>
    </row>
    <row r="43" spans="1:11">
      <c r="A43" s="11" t="s">
        <v>83</v>
      </c>
      <c r="B43" s="4">
        <v>74</v>
      </c>
      <c r="C43" s="2">
        <f t="shared" si="0"/>
        <v>26</v>
      </c>
      <c r="D43" s="4">
        <v>1</v>
      </c>
      <c r="E43" s="4">
        <v>9</v>
      </c>
      <c r="F43" s="4">
        <v>44</v>
      </c>
      <c r="G43" s="10">
        <f t="shared" si="1"/>
        <v>46</v>
      </c>
      <c r="H43" s="10" t="s">
        <v>84</v>
      </c>
      <c r="I43" s="4">
        <v>73</v>
      </c>
      <c r="J43" s="10">
        <f t="shared" si="3"/>
        <v>27</v>
      </c>
      <c r="K43" s="15" t="s">
        <v>1</v>
      </c>
    </row>
    <row r="44" spans="1:11">
      <c r="A44" s="9" t="s">
        <v>85</v>
      </c>
      <c r="B44" s="4">
        <v>38</v>
      </c>
      <c r="C44" s="2">
        <f t="shared" si="0"/>
        <v>62</v>
      </c>
      <c r="D44" s="4">
        <v>5</v>
      </c>
      <c r="E44" s="4">
        <v>21</v>
      </c>
      <c r="F44" s="4">
        <v>58</v>
      </c>
      <c r="G44" s="10">
        <f t="shared" si="1"/>
        <v>16</v>
      </c>
      <c r="H44" s="10" t="s">
        <v>86</v>
      </c>
      <c r="I44" s="4">
        <v>68</v>
      </c>
      <c r="J44" s="10">
        <f t="shared" si="3"/>
        <v>32</v>
      </c>
      <c r="K44" s="9" t="s">
        <v>8</v>
      </c>
    </row>
    <row r="45" spans="1:11">
      <c r="A45" s="6" t="s">
        <v>98</v>
      </c>
      <c r="B45" s="4">
        <v>42</v>
      </c>
      <c r="C45" s="2">
        <f t="shared" si="0"/>
        <v>58</v>
      </c>
      <c r="D45" s="4">
        <v>4</v>
      </c>
      <c r="E45" s="4">
        <v>16</v>
      </c>
      <c r="F45" s="4">
        <v>57</v>
      </c>
      <c r="G45" s="10">
        <f t="shared" si="1"/>
        <v>23</v>
      </c>
      <c r="H45" s="7" t="s">
        <v>99</v>
      </c>
      <c r="I45" s="4">
        <v>91</v>
      </c>
      <c r="J45" s="4">
        <v>9</v>
      </c>
      <c r="K45" s="14" t="s">
        <v>8</v>
      </c>
    </row>
    <row r="46" spans="1:11">
      <c r="A46" s="6" t="s">
        <v>100</v>
      </c>
      <c r="B46" s="4">
        <v>43</v>
      </c>
      <c r="C46" s="2">
        <f t="shared" si="0"/>
        <v>57</v>
      </c>
      <c r="D46" s="4">
        <v>4</v>
      </c>
      <c r="E46" s="4">
        <v>18</v>
      </c>
      <c r="F46" s="4">
        <v>59</v>
      </c>
      <c r="G46" s="10">
        <f t="shared" si="1"/>
        <v>19</v>
      </c>
      <c r="H46" s="7" t="s">
        <v>101</v>
      </c>
      <c r="I46" s="4">
        <v>88</v>
      </c>
      <c r="J46" s="4">
        <v>12</v>
      </c>
      <c r="K46" s="14" t="s">
        <v>1</v>
      </c>
    </row>
    <row r="47" spans="1:11">
      <c r="A47" s="6" t="s">
        <v>102</v>
      </c>
      <c r="B47" s="4">
        <v>38</v>
      </c>
      <c r="C47" s="2">
        <f t="shared" si="0"/>
        <v>62</v>
      </c>
      <c r="D47" s="4">
        <v>5</v>
      </c>
      <c r="E47" s="4">
        <v>17</v>
      </c>
      <c r="F47" s="4">
        <v>57</v>
      </c>
      <c r="G47" s="10">
        <f t="shared" si="1"/>
        <v>21</v>
      </c>
      <c r="H47" s="13" t="s">
        <v>103</v>
      </c>
      <c r="I47" s="4">
        <v>93</v>
      </c>
      <c r="J47" s="4">
        <v>7</v>
      </c>
      <c r="K47" s="14" t="s">
        <v>1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2026-08-05T18:48:06Z</dcterms:modified>
</cp:coreProperties>
</file>